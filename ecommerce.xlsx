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85bb19ec9bb22b52/Desktop/"/>
    </mc:Choice>
  </mc:AlternateContent>
  <xr:revisionPtr revIDLastSave="11" documentId="8_{010B6DCC-0DF9-45D7-97FB-F19FFD1BE0BB}" xr6:coauthVersionLast="47" xr6:coauthVersionMax="47" xr10:uidLastSave="{13FACFA7-423B-426B-898F-FC64EB7DF40F}"/>
  <bookViews>
    <workbookView xWindow="-108" yWindow="-108" windowWidth="23256" windowHeight="12456" firstSheet="6" activeTab="6" xr2:uid="{346724B3-1C49-40AE-AA36-C77CF5D6DD09}"/>
  </bookViews>
  <sheets>
    <sheet name="pivot" sheetId="6" r:id="rId1"/>
    <sheet name="result dashboard" sheetId="5" r:id="rId2"/>
    <sheet name="from where" sheetId="8" r:id="rId3"/>
    <sheet name="popular" sheetId="9" r:id="rId4"/>
    <sheet name="Sheet4" sheetId="11" r:id="rId5"/>
    <sheet name="days to deliver" sheetId="12" r:id="rId6"/>
    <sheet name="customer satisfaction" sheetId="13" r:id="rId7"/>
    <sheet name="Sheet8" sheetId="20" r:id="rId8"/>
    <sheet name="Data" sheetId="1" r:id="rId9"/>
    <sheet name="Questions &amp; KPIs" sheetId="2" r:id="rId10"/>
  </sheets>
  <definedNames>
    <definedName name="_xlchart.v5.0" hidden="1">Sheet4!$U$4:$V$4</definedName>
    <definedName name="_xlchart.v5.1" hidden="1">Sheet4!$U$5:$V$62</definedName>
    <definedName name="_xlchart.v5.10" hidden="1">Sheet4!$W$4</definedName>
    <definedName name="_xlchart.v5.11" hidden="1">Sheet4!$W$5:$W$62</definedName>
    <definedName name="_xlchart.v5.12" hidden="1">Sheet4!$L$4:$M$4</definedName>
    <definedName name="_xlchart.v5.13" hidden="1">Sheet4!$L$5:$M$62</definedName>
    <definedName name="_xlchart.v5.14" hidden="1">Sheet4!$N$4</definedName>
    <definedName name="_xlchart.v5.15" hidden="1">Sheet4!$N$5:$N$62</definedName>
    <definedName name="_xlchart.v5.2" hidden="1">Sheet4!$W$4</definedName>
    <definedName name="_xlchart.v5.3" hidden="1">Sheet4!$W$5:$W$62</definedName>
    <definedName name="_xlchart.v5.4" hidden="1">Sheet4!$L$4:$M$4</definedName>
    <definedName name="_xlchart.v5.5" hidden="1">Sheet4!$L$5:$M$62</definedName>
    <definedName name="_xlchart.v5.6" hidden="1">Sheet4!$N$4</definedName>
    <definedName name="_xlchart.v5.7" hidden="1">Sheet4!$N$5:$N$62</definedName>
    <definedName name="_xlchart.v5.8" hidden="1">Sheet4!$U$4:$V$4</definedName>
    <definedName name="_xlchart.v5.9" hidden="1">Sheet4!$U$5:$V$62</definedName>
    <definedName name="Slicer_Gender_Value">#N/A</definedName>
    <definedName name="Slicer_Order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01" i="1" l="1"/>
  <c r="O2401" i="1" a="1"/>
  <c r="N2401" i="1"/>
  <c r="M2401" i="1"/>
  <c r="O2400" i="1"/>
  <c r="O2400" i="1" a="1"/>
  <c r="N2400" i="1"/>
  <c r="M2400" i="1"/>
  <c r="O2399" i="1"/>
  <c r="O2399" i="1" a="1"/>
  <c r="N2399" i="1"/>
  <c r="M2399" i="1"/>
  <c r="O2398" i="1"/>
  <c r="O2398" i="1" a="1"/>
  <c r="N2398" i="1"/>
  <c r="M2398" i="1"/>
  <c r="O2397" i="1"/>
  <c r="O2397" i="1" a="1"/>
  <c r="N2397" i="1"/>
  <c r="M2397" i="1"/>
  <c r="O2396" i="1"/>
  <c r="O2396" i="1" a="1"/>
  <c r="N2396" i="1"/>
  <c r="M2396" i="1"/>
  <c r="O2395" i="1"/>
  <c r="O2395" i="1" a="1"/>
  <c r="N2395" i="1"/>
  <c r="M2395" i="1"/>
  <c r="O2394" i="1"/>
  <c r="O2394" i="1" a="1"/>
  <c r="N2394" i="1"/>
  <c r="M2394" i="1"/>
  <c r="O2393" i="1"/>
  <c r="O2393" i="1" a="1"/>
  <c r="N2393" i="1"/>
  <c r="M2393" i="1"/>
  <c r="O2392" i="1"/>
  <c r="O2392" i="1" a="1"/>
  <c r="N2392" i="1"/>
  <c r="M2392" i="1"/>
  <c r="O2391" i="1"/>
  <c r="O2391" i="1" a="1"/>
  <c r="N2391" i="1"/>
  <c r="M2391" i="1"/>
  <c r="O2390" i="1"/>
  <c r="O2390" i="1" a="1"/>
  <c r="N2390" i="1"/>
  <c r="M2390" i="1"/>
  <c r="O2389" i="1"/>
  <c r="O2389" i="1" a="1"/>
  <c r="N2389" i="1"/>
  <c r="M2389" i="1"/>
  <c r="O2388" i="1"/>
  <c r="O2388" i="1" a="1"/>
  <c r="N2388" i="1"/>
  <c r="M2388" i="1"/>
  <c r="O2387" i="1"/>
  <c r="O2387" i="1" a="1"/>
  <c r="N2387" i="1"/>
  <c r="M2387" i="1"/>
  <c r="O2386" i="1"/>
  <c r="O2386" i="1" a="1"/>
  <c r="N2386" i="1"/>
  <c r="M2386" i="1"/>
  <c r="O2385" i="1"/>
  <c r="O2385" i="1" a="1"/>
  <c r="N2385" i="1"/>
  <c r="M2385" i="1"/>
  <c r="O2384" i="1"/>
  <c r="O2384" i="1" a="1"/>
  <c r="N2384" i="1"/>
  <c r="M2384" i="1"/>
  <c r="O2383" i="1"/>
  <c r="O2383" i="1" a="1"/>
  <c r="N2383" i="1"/>
  <c r="M2383" i="1"/>
  <c r="O2382" i="1"/>
  <c r="O2382" i="1" a="1"/>
  <c r="N2382" i="1"/>
  <c r="M2382" i="1"/>
  <c r="O2381" i="1"/>
  <c r="O2381" i="1" a="1"/>
  <c r="N2381" i="1"/>
  <c r="M2381" i="1"/>
  <c r="O2380" i="1"/>
  <c r="O2380" i="1" a="1"/>
  <c r="N2380" i="1"/>
  <c r="M2380" i="1"/>
  <c r="O2379" i="1"/>
  <c r="O2379" i="1" a="1"/>
  <c r="N2379" i="1"/>
  <c r="M2379" i="1"/>
  <c r="O2378" i="1"/>
  <c r="O2378" i="1" a="1"/>
  <c r="N2378" i="1"/>
  <c r="M2378" i="1"/>
  <c r="O2377" i="1"/>
  <c r="O2377" i="1" a="1"/>
  <c r="N2377" i="1"/>
  <c r="M2377" i="1"/>
  <c r="O2376" i="1"/>
  <c r="O2376" i="1" a="1"/>
  <c r="N2376" i="1"/>
  <c r="M2376" i="1"/>
  <c r="O2375" i="1"/>
  <c r="O2375" i="1" a="1"/>
  <c r="N2375" i="1"/>
  <c r="M2375" i="1"/>
  <c r="O2374" i="1"/>
  <c r="O2374" i="1" a="1"/>
  <c r="N2374" i="1"/>
  <c r="M2374" i="1"/>
  <c r="O2373" i="1"/>
  <c r="O2373" i="1" a="1"/>
  <c r="N2373" i="1"/>
  <c r="M2373" i="1"/>
  <c r="O2372" i="1"/>
  <c r="O2372" i="1" a="1"/>
  <c r="N2372" i="1"/>
  <c r="M2372" i="1"/>
  <c r="O2371" i="1"/>
  <c r="O2371" i="1" a="1"/>
  <c r="N2371" i="1"/>
  <c r="M2371" i="1"/>
  <c r="O2370" i="1"/>
  <c r="O2370" i="1" a="1"/>
  <c r="N2370" i="1"/>
  <c r="M2370" i="1"/>
  <c r="O2369" i="1"/>
  <c r="O2369" i="1" a="1"/>
  <c r="N2369" i="1"/>
  <c r="M2369" i="1"/>
  <c r="O2368" i="1"/>
  <c r="O2368" i="1" a="1"/>
  <c r="N2368" i="1"/>
  <c r="M2368" i="1"/>
  <c r="O2367" i="1"/>
  <c r="O2367" i="1" a="1"/>
  <c r="N2367" i="1"/>
  <c r="M2367" i="1"/>
  <c r="O2366" i="1"/>
  <c r="O2366" i="1" a="1"/>
  <c r="N2366" i="1"/>
  <c r="M2366" i="1"/>
  <c r="O2365" i="1"/>
  <c r="O2365" i="1" a="1"/>
  <c r="N2365" i="1"/>
  <c r="M2365" i="1"/>
  <c r="O2364" i="1"/>
  <c r="O2364" i="1" a="1"/>
  <c r="N2364" i="1"/>
  <c r="M2364" i="1"/>
  <c r="O2363" i="1"/>
  <c r="O2363" i="1" a="1"/>
  <c r="N2363" i="1"/>
  <c r="M2363" i="1"/>
  <c r="O2362" i="1"/>
  <c r="O2362" i="1" a="1"/>
  <c r="N2362" i="1"/>
  <c r="M2362" i="1"/>
  <c r="O2361" i="1"/>
  <c r="O2361" i="1" a="1"/>
  <c r="N2361" i="1"/>
  <c r="M2361" i="1"/>
  <c r="O2360" i="1"/>
  <c r="O2360" i="1" a="1"/>
  <c r="N2360" i="1"/>
  <c r="M2360" i="1"/>
  <c r="O2359" i="1"/>
  <c r="O2359" i="1" a="1"/>
  <c r="N2359" i="1"/>
  <c r="M2359" i="1"/>
  <c r="O2358" i="1"/>
  <c r="O2358" i="1" a="1"/>
  <c r="N2358" i="1"/>
  <c r="M2358" i="1"/>
  <c r="O2357" i="1"/>
  <c r="O2357" i="1" a="1"/>
  <c r="N2357" i="1"/>
  <c r="M2357" i="1"/>
  <c r="O2356" i="1"/>
  <c r="O2356" i="1" a="1"/>
  <c r="N2356" i="1"/>
  <c r="M2356" i="1"/>
  <c r="O2355" i="1"/>
  <c r="O2355" i="1" a="1"/>
  <c r="N2355" i="1"/>
  <c r="M2355" i="1"/>
  <c r="O2354" i="1"/>
  <c r="O2354" i="1" a="1"/>
  <c r="N2354" i="1"/>
  <c r="M2354" i="1"/>
  <c r="O2353" i="1"/>
  <c r="O2353" i="1" a="1"/>
  <c r="N2353" i="1"/>
  <c r="M2353" i="1"/>
  <c r="O2352" i="1"/>
  <c r="O2352" i="1" a="1"/>
  <c r="N2352" i="1"/>
  <c r="M2352" i="1"/>
  <c r="O2351" i="1"/>
  <c r="O2351" i="1" a="1"/>
  <c r="N2351" i="1"/>
  <c r="M2351" i="1"/>
  <c r="O2350" i="1"/>
  <c r="O2350" i="1" a="1"/>
  <c r="N2350" i="1"/>
  <c r="M2350" i="1"/>
  <c r="O2349" i="1"/>
  <c r="O2349" i="1" a="1"/>
  <c r="N2349" i="1"/>
  <c r="M2349" i="1"/>
  <c r="O2348" i="1"/>
  <c r="O2348" i="1" a="1"/>
  <c r="N2348" i="1"/>
  <c r="M2348" i="1"/>
  <c r="O2347" i="1"/>
  <c r="O2347" i="1" a="1"/>
  <c r="N2347" i="1"/>
  <c r="M2347" i="1"/>
  <c r="O2346" i="1"/>
  <c r="O2346" i="1" a="1"/>
  <c r="N2346" i="1"/>
  <c r="M2346" i="1"/>
  <c r="O2345" i="1"/>
  <c r="O2345" i="1" a="1"/>
  <c r="N2345" i="1"/>
  <c r="M2345" i="1"/>
  <c r="O2344" i="1"/>
  <c r="O2344" i="1" a="1"/>
  <c r="N2344" i="1"/>
  <c r="M2344" i="1"/>
  <c r="O2343" i="1"/>
  <c r="O2343" i="1" a="1"/>
  <c r="N2343" i="1"/>
  <c r="M2343" i="1"/>
  <c r="O2342" i="1"/>
  <c r="O2342" i="1" a="1"/>
  <c r="N2342" i="1"/>
  <c r="M2342" i="1"/>
  <c r="O2341" i="1"/>
  <c r="O2341" i="1" a="1"/>
  <c r="N2341" i="1"/>
  <c r="M2341" i="1"/>
  <c r="O2340" i="1"/>
  <c r="O2340" i="1" a="1"/>
  <c r="N2340" i="1"/>
  <c r="M2340" i="1"/>
  <c r="O2339" i="1"/>
  <c r="O2339" i="1" a="1"/>
  <c r="N2339" i="1"/>
  <c r="M2339" i="1"/>
  <c r="O2338" i="1"/>
  <c r="O2338" i="1" a="1"/>
  <c r="N2338" i="1"/>
  <c r="M2338" i="1"/>
  <c r="O2337" i="1"/>
  <c r="O2337" i="1" a="1"/>
  <c r="N2337" i="1"/>
  <c r="M2337" i="1"/>
  <c r="O2336" i="1"/>
  <c r="O2336" i="1" a="1"/>
  <c r="N2336" i="1"/>
  <c r="M2336" i="1"/>
  <c r="O2335" i="1"/>
  <c r="O2335" i="1" a="1"/>
  <c r="N2335" i="1"/>
  <c r="M2335" i="1"/>
  <c r="O2334" i="1"/>
  <c r="O2334" i="1" a="1"/>
  <c r="N2334" i="1"/>
  <c r="M2334" i="1"/>
  <c r="O2333" i="1"/>
  <c r="O2333" i="1" a="1"/>
  <c r="N2333" i="1"/>
  <c r="M2333" i="1"/>
  <c r="O2332" i="1"/>
  <c r="O2332" i="1" a="1"/>
  <c r="N2332" i="1"/>
  <c r="M2332" i="1"/>
  <c r="O2331" i="1"/>
  <c r="O2331" i="1" a="1"/>
  <c r="N2331" i="1"/>
  <c r="M2331" i="1"/>
  <c r="O2330" i="1"/>
  <c r="O2330" i="1" a="1"/>
  <c r="N2330" i="1"/>
  <c r="M2330" i="1"/>
  <c r="O2329" i="1"/>
  <c r="O2329" i="1" a="1"/>
  <c r="N2329" i="1"/>
  <c r="M2329" i="1"/>
  <c r="O2328" i="1"/>
  <c r="O2328" i="1" a="1"/>
  <c r="N2328" i="1"/>
  <c r="M2328" i="1"/>
  <c r="O2327" i="1"/>
  <c r="O2327" i="1" a="1"/>
  <c r="N2327" i="1"/>
  <c r="M2327" i="1"/>
  <c r="O2326" i="1"/>
  <c r="O2326" i="1" a="1"/>
  <c r="N2326" i="1"/>
  <c r="M2326" i="1"/>
  <c r="O2325" i="1"/>
  <c r="O2325" i="1" a="1"/>
  <c r="N2325" i="1"/>
  <c r="M2325" i="1"/>
  <c r="O2324" i="1"/>
  <c r="O2324" i="1" a="1"/>
  <c r="N2324" i="1"/>
  <c r="M2324" i="1"/>
  <c r="O2323" i="1"/>
  <c r="O2323" i="1" a="1"/>
  <c r="N2323" i="1"/>
  <c r="M2323" i="1"/>
  <c r="O2322" i="1"/>
  <c r="O2322" i="1" a="1"/>
  <c r="N2322" i="1"/>
  <c r="M2322" i="1"/>
  <c r="O2321" i="1"/>
  <c r="O2321" i="1" a="1"/>
  <c r="N2321" i="1"/>
  <c r="M2321" i="1"/>
  <c r="O2320" i="1"/>
  <c r="O2320" i="1" a="1"/>
  <c r="N2320" i="1"/>
  <c r="M2320" i="1"/>
  <c r="O2319" i="1"/>
  <c r="O2319" i="1" a="1"/>
  <c r="N2319" i="1"/>
  <c r="M2319" i="1"/>
  <c r="O2318" i="1"/>
  <c r="O2318" i="1" a="1"/>
  <c r="N2318" i="1"/>
  <c r="M2318" i="1"/>
  <c r="O2317" i="1"/>
  <c r="O2317" i="1" a="1"/>
  <c r="N2317" i="1"/>
  <c r="M2317" i="1"/>
  <c r="O2316" i="1"/>
  <c r="O2316" i="1" a="1"/>
  <c r="N2316" i="1"/>
  <c r="M2316" i="1"/>
  <c r="O2315" i="1"/>
  <c r="O2315" i="1" a="1"/>
  <c r="N2315" i="1"/>
  <c r="M2315" i="1"/>
  <c r="O2314" i="1"/>
  <c r="O2314" i="1" a="1"/>
  <c r="N2314" i="1"/>
  <c r="M2314" i="1"/>
  <c r="O2313" i="1"/>
  <c r="O2313" i="1" a="1"/>
  <c r="N2313" i="1"/>
  <c r="M2313" i="1"/>
  <c r="O2312" i="1"/>
  <c r="O2312" i="1" a="1"/>
  <c r="N2312" i="1"/>
  <c r="M2312" i="1"/>
  <c r="O2311" i="1"/>
  <c r="O2311" i="1" a="1"/>
  <c r="N2311" i="1"/>
  <c r="M2311" i="1"/>
  <c r="O2310" i="1"/>
  <c r="O2310" i="1" a="1"/>
  <c r="N2310" i="1"/>
  <c r="M2310" i="1"/>
  <c r="O2309" i="1"/>
  <c r="O2309" i="1" a="1"/>
  <c r="N2309" i="1"/>
  <c r="M2309" i="1"/>
  <c r="O2308" i="1"/>
  <c r="O2308" i="1" a="1"/>
  <c r="N2308" i="1"/>
  <c r="M2308" i="1"/>
  <c r="O2307" i="1"/>
  <c r="O2307" i="1" a="1"/>
  <c r="N2307" i="1"/>
  <c r="M2307" i="1"/>
  <c r="O2306" i="1"/>
  <c r="O2306" i="1" a="1"/>
  <c r="N2306" i="1"/>
  <c r="M2306" i="1"/>
  <c r="O2305" i="1"/>
  <c r="O2305" i="1" a="1"/>
  <c r="N2305" i="1"/>
  <c r="M2305" i="1"/>
  <c r="O2304" i="1"/>
  <c r="O2304" i="1" a="1"/>
  <c r="N2304" i="1"/>
  <c r="M2304" i="1"/>
  <c r="O2303" i="1"/>
  <c r="O2303" i="1" a="1"/>
  <c r="N2303" i="1"/>
  <c r="M2303" i="1"/>
  <c r="O2302" i="1"/>
  <c r="O2302" i="1" a="1"/>
  <c r="N2302" i="1"/>
  <c r="M2302" i="1"/>
  <c r="O2301" i="1"/>
  <c r="O2301" i="1" a="1"/>
  <c r="N2301" i="1"/>
  <c r="M2301" i="1"/>
  <c r="O2300" i="1"/>
  <c r="O2300" i="1" a="1"/>
  <c r="N2300" i="1"/>
  <c r="M2300" i="1"/>
  <c r="O2299" i="1"/>
  <c r="O2299" i="1" a="1"/>
  <c r="N2299" i="1"/>
  <c r="M2299" i="1"/>
  <c r="O2298" i="1"/>
  <c r="O2298" i="1" a="1"/>
  <c r="N2298" i="1"/>
  <c r="M2298" i="1"/>
  <c r="O2297" i="1"/>
  <c r="O2297" i="1" a="1"/>
  <c r="N2297" i="1"/>
  <c r="M2297" i="1"/>
  <c r="O2296" i="1"/>
  <c r="O2296" i="1" a="1"/>
  <c r="N2296" i="1"/>
  <c r="M2296" i="1"/>
  <c r="O2295" i="1"/>
  <c r="O2295" i="1" a="1"/>
  <c r="N2295" i="1"/>
  <c r="M2295" i="1"/>
  <c r="O2294" i="1"/>
  <c r="O2294" i="1" a="1"/>
  <c r="N2294" i="1"/>
  <c r="M2294" i="1"/>
  <c r="O2293" i="1"/>
  <c r="O2293" i="1" a="1"/>
  <c r="N2293" i="1"/>
  <c r="M2293" i="1"/>
  <c r="O2292" i="1"/>
  <c r="O2292" i="1" a="1"/>
  <c r="N2292" i="1"/>
  <c r="M2292" i="1"/>
  <c r="O2291" i="1"/>
  <c r="O2291" i="1" a="1"/>
  <c r="N2291" i="1"/>
  <c r="M2291" i="1"/>
  <c r="O2290" i="1"/>
  <c r="O2290" i="1" a="1"/>
  <c r="N2290" i="1"/>
  <c r="M2290" i="1"/>
  <c r="O2289" i="1"/>
  <c r="O2289" i="1" a="1"/>
  <c r="N2289" i="1"/>
  <c r="M2289" i="1"/>
  <c r="O2288" i="1"/>
  <c r="O2288" i="1" a="1"/>
  <c r="N2288" i="1"/>
  <c r="M2288" i="1"/>
  <c r="O2287" i="1"/>
  <c r="O2287" i="1" a="1"/>
  <c r="N2287" i="1"/>
  <c r="M2287" i="1"/>
  <c r="O2286" i="1"/>
  <c r="O2286" i="1" a="1"/>
  <c r="N2286" i="1"/>
  <c r="M2286" i="1"/>
  <c r="O2285" i="1"/>
  <c r="O2285" i="1" a="1"/>
  <c r="N2285" i="1"/>
  <c r="M2285" i="1"/>
  <c r="O2284" i="1"/>
  <c r="O2284" i="1" a="1"/>
  <c r="N2284" i="1"/>
  <c r="M2284" i="1"/>
  <c r="O2283" i="1"/>
  <c r="O2283" i="1" a="1"/>
  <c r="N2283" i="1"/>
  <c r="M2283" i="1"/>
  <c r="O2282" i="1"/>
  <c r="O2282" i="1" a="1"/>
  <c r="N2282" i="1"/>
  <c r="M2282" i="1"/>
  <c r="O2281" i="1"/>
  <c r="O2281" i="1" a="1"/>
  <c r="N2281" i="1"/>
  <c r="M2281" i="1"/>
  <c r="O2280" i="1"/>
  <c r="O2280" i="1" a="1"/>
  <c r="N2280" i="1"/>
  <c r="M2280" i="1"/>
  <c r="O2279" i="1"/>
  <c r="O2279" i="1" a="1"/>
  <c r="N2279" i="1"/>
  <c r="M2279" i="1"/>
  <c r="O2278" i="1"/>
  <c r="O2278" i="1" a="1"/>
  <c r="N2278" i="1"/>
  <c r="M2278" i="1"/>
  <c r="O2277" i="1"/>
  <c r="O2277" i="1" a="1"/>
  <c r="N2277" i="1"/>
  <c r="M2277" i="1"/>
  <c r="O2276" i="1"/>
  <c r="O2276" i="1" a="1"/>
  <c r="N2276" i="1"/>
  <c r="M2276" i="1"/>
  <c r="O2275" i="1"/>
  <c r="O2275" i="1" a="1"/>
  <c r="N2275" i="1"/>
  <c r="M2275" i="1"/>
  <c r="O2274" i="1"/>
  <c r="O2274" i="1" a="1"/>
  <c r="N2274" i="1"/>
  <c r="M2274" i="1"/>
  <c r="O2273" i="1"/>
  <c r="O2273" i="1" a="1"/>
  <c r="N2273" i="1"/>
  <c r="M2273" i="1"/>
  <c r="O2272" i="1"/>
  <c r="O2272" i="1" a="1"/>
  <c r="N2272" i="1"/>
  <c r="M2272" i="1"/>
  <c r="O2271" i="1"/>
  <c r="O2271" i="1" a="1"/>
  <c r="N2271" i="1"/>
  <c r="M2271" i="1"/>
  <c r="O2270" i="1"/>
  <c r="O2270" i="1" a="1"/>
  <c r="N2270" i="1"/>
  <c r="M2270" i="1"/>
  <c r="O2269" i="1"/>
  <c r="O2269" i="1" a="1"/>
  <c r="N2269" i="1"/>
  <c r="M2269" i="1"/>
  <c r="O2268" i="1"/>
  <c r="O2268" i="1" a="1"/>
  <c r="N2268" i="1"/>
  <c r="M2268" i="1"/>
  <c r="O2267" i="1"/>
  <c r="O2267" i="1" a="1"/>
  <c r="N2267" i="1"/>
  <c r="M2267" i="1"/>
  <c r="O2266" i="1"/>
  <c r="O2266" i="1" a="1"/>
  <c r="N2266" i="1"/>
  <c r="M2266" i="1"/>
  <c r="O2265" i="1"/>
  <c r="O2265" i="1" a="1"/>
  <c r="N2265" i="1"/>
  <c r="M2265" i="1"/>
  <c r="O2264" i="1"/>
  <c r="O2264" i="1" a="1"/>
  <c r="N2264" i="1"/>
  <c r="M2264" i="1"/>
  <c r="O2263" i="1"/>
  <c r="O2263" i="1" a="1"/>
  <c r="N2263" i="1"/>
  <c r="M2263" i="1"/>
  <c r="O2262" i="1"/>
  <c r="O2262" i="1" a="1"/>
  <c r="N2262" i="1"/>
  <c r="M2262" i="1"/>
  <c r="O2261" i="1"/>
  <c r="O2261" i="1" a="1"/>
  <c r="N2261" i="1"/>
  <c r="M2261" i="1"/>
  <c r="O2260" i="1"/>
  <c r="O2260" i="1" a="1"/>
  <c r="N2260" i="1"/>
  <c r="M2260" i="1"/>
  <c r="O2259" i="1"/>
  <c r="O2259" i="1" a="1"/>
  <c r="N2259" i="1"/>
  <c r="M2259" i="1"/>
  <c r="O2258" i="1"/>
  <c r="O2258" i="1" a="1"/>
  <c r="N2258" i="1"/>
  <c r="M2258" i="1"/>
  <c r="O2257" i="1"/>
  <c r="O2257" i="1" a="1"/>
  <c r="N2257" i="1"/>
  <c r="M2257" i="1"/>
  <c r="O2256" i="1"/>
  <c r="O2256" i="1" a="1"/>
  <c r="N2256" i="1"/>
  <c r="M2256" i="1"/>
  <c r="O2255" i="1"/>
  <c r="O2255" i="1" a="1"/>
  <c r="N2255" i="1"/>
  <c r="M2255" i="1"/>
  <c r="O2254" i="1"/>
  <c r="O2254" i="1" a="1"/>
  <c r="N2254" i="1"/>
  <c r="M2254" i="1"/>
  <c r="O2253" i="1"/>
  <c r="O2253" i="1" a="1"/>
  <c r="N2253" i="1"/>
  <c r="M2253" i="1"/>
  <c r="O2252" i="1"/>
  <c r="O2252" i="1" a="1"/>
  <c r="N2252" i="1"/>
  <c r="M2252" i="1"/>
  <c r="O2251" i="1"/>
  <c r="O2251" i="1" a="1"/>
  <c r="N2251" i="1"/>
  <c r="M2251" i="1"/>
  <c r="O2250" i="1"/>
  <c r="O2250" i="1" a="1"/>
  <c r="N2250" i="1"/>
  <c r="M2250" i="1"/>
  <c r="O2249" i="1"/>
  <c r="O2249" i="1" a="1"/>
  <c r="N2249" i="1"/>
  <c r="M2249" i="1"/>
  <c r="O2248" i="1"/>
  <c r="O2248" i="1" a="1"/>
  <c r="N2248" i="1"/>
  <c r="M2248" i="1"/>
  <c r="O2247" i="1"/>
  <c r="O2247" i="1" a="1"/>
  <c r="N2247" i="1"/>
  <c r="M2247" i="1"/>
  <c r="O2246" i="1"/>
  <c r="O2246" i="1" a="1"/>
  <c r="N2246" i="1"/>
  <c r="M2246" i="1"/>
  <c r="O2245" i="1"/>
  <c r="O2245" i="1" a="1"/>
  <c r="N2245" i="1"/>
  <c r="M2245" i="1"/>
  <c r="O2244" i="1"/>
  <c r="O2244" i="1" a="1"/>
  <c r="N2244" i="1"/>
  <c r="M2244" i="1"/>
  <c r="O2243" i="1"/>
  <c r="O2243" i="1" a="1"/>
  <c r="N2243" i="1"/>
  <c r="M2243" i="1"/>
  <c r="O2242" i="1"/>
  <c r="O2242" i="1" a="1"/>
  <c r="N2242" i="1"/>
  <c r="M2242" i="1"/>
  <c r="O2241" i="1"/>
  <c r="O2241" i="1" a="1"/>
  <c r="N2241" i="1"/>
  <c r="M2241" i="1"/>
  <c r="O2240" i="1"/>
  <c r="O2240" i="1" a="1"/>
  <c r="N2240" i="1"/>
  <c r="M2240" i="1"/>
  <c r="O2239" i="1"/>
  <c r="O2239" i="1" a="1"/>
  <c r="N2239" i="1"/>
  <c r="M2239" i="1"/>
  <c r="O2238" i="1"/>
  <c r="O2238" i="1" a="1"/>
  <c r="N2238" i="1"/>
  <c r="M2238" i="1"/>
  <c r="O2237" i="1"/>
  <c r="O2237" i="1" a="1"/>
  <c r="N2237" i="1"/>
  <c r="M2237" i="1"/>
  <c r="O2236" i="1"/>
  <c r="O2236" i="1" a="1"/>
  <c r="N2236" i="1"/>
  <c r="M2236" i="1"/>
  <c r="O2235" i="1"/>
  <c r="O2235" i="1" a="1"/>
  <c r="N2235" i="1"/>
  <c r="M2235" i="1"/>
  <c r="O2234" i="1"/>
  <c r="O2234" i="1" a="1"/>
  <c r="N2234" i="1"/>
  <c r="M2234" i="1"/>
  <c r="O2233" i="1"/>
  <c r="O2233" i="1" a="1"/>
  <c r="N2233" i="1"/>
  <c r="M2233" i="1"/>
  <c r="O2232" i="1"/>
  <c r="O2232" i="1" a="1"/>
  <c r="N2232" i="1"/>
  <c r="M2232" i="1"/>
  <c r="O2231" i="1"/>
  <c r="O2231" i="1" a="1"/>
  <c r="N2231" i="1"/>
  <c r="M2231" i="1"/>
  <c r="O2230" i="1"/>
  <c r="O2230" i="1" a="1"/>
  <c r="N2230" i="1"/>
  <c r="M2230" i="1"/>
  <c r="O2229" i="1"/>
  <c r="O2229" i="1" a="1"/>
  <c r="N2229" i="1"/>
  <c r="M2229" i="1"/>
  <c r="O2228" i="1"/>
  <c r="O2228" i="1" a="1"/>
  <c r="N2228" i="1"/>
  <c r="M2228" i="1"/>
  <c r="O2227" i="1"/>
  <c r="O2227" i="1" a="1"/>
  <c r="N2227" i="1"/>
  <c r="M2227" i="1"/>
  <c r="O2226" i="1"/>
  <c r="O2226" i="1" a="1"/>
  <c r="N2226" i="1"/>
  <c r="M2226" i="1"/>
  <c r="O2225" i="1"/>
  <c r="O2225" i="1" a="1"/>
  <c r="N2225" i="1"/>
  <c r="M2225" i="1"/>
  <c r="O2224" i="1"/>
  <c r="O2224" i="1" a="1"/>
  <c r="N2224" i="1"/>
  <c r="M2224" i="1"/>
  <c r="O2223" i="1"/>
  <c r="O2223" i="1" a="1"/>
  <c r="N2223" i="1"/>
  <c r="M2223" i="1"/>
  <c r="O2222" i="1"/>
  <c r="O2222" i="1" a="1"/>
  <c r="N2222" i="1"/>
  <c r="M2222" i="1"/>
  <c r="O2221" i="1"/>
  <c r="O2221" i="1" a="1"/>
  <c r="N2221" i="1"/>
  <c r="M2221" i="1"/>
  <c r="O2220" i="1"/>
  <c r="O2220" i="1" a="1"/>
  <c r="N2220" i="1"/>
  <c r="M2220" i="1"/>
  <c r="O2219" i="1"/>
  <c r="O2219" i="1" a="1"/>
  <c r="N2219" i="1"/>
  <c r="M2219" i="1"/>
  <c r="O2218" i="1"/>
  <c r="O2218" i="1" a="1"/>
  <c r="N2218" i="1"/>
  <c r="M2218" i="1"/>
  <c r="O2217" i="1"/>
  <c r="O2217" i="1" a="1"/>
  <c r="N2217" i="1"/>
  <c r="M2217" i="1"/>
  <c r="O2216" i="1"/>
  <c r="O2216" i="1" a="1"/>
  <c r="N2216" i="1"/>
  <c r="M2216" i="1"/>
  <c r="O2215" i="1"/>
  <c r="O2215" i="1" a="1"/>
  <c r="N2215" i="1"/>
  <c r="M2215" i="1"/>
  <c r="O2214" i="1"/>
  <c r="O2214" i="1" a="1"/>
  <c r="N2214" i="1"/>
  <c r="M2214" i="1"/>
  <c r="O2213" i="1"/>
  <c r="O2213" i="1" a="1"/>
  <c r="N2213" i="1"/>
  <c r="M2213" i="1"/>
  <c r="O2212" i="1"/>
  <c r="O2212" i="1" a="1"/>
  <c r="N2212" i="1"/>
  <c r="M2212" i="1"/>
  <c r="O2211" i="1"/>
  <c r="O2211" i="1" a="1"/>
  <c r="N2211" i="1"/>
  <c r="M2211" i="1"/>
  <c r="O2210" i="1"/>
  <c r="O2210" i="1" a="1"/>
  <c r="N2210" i="1"/>
  <c r="M2210" i="1"/>
  <c r="O2209" i="1"/>
  <c r="O2209" i="1" a="1"/>
  <c r="N2209" i="1"/>
  <c r="M2209" i="1"/>
  <c r="O2208" i="1"/>
  <c r="O2208" i="1" a="1"/>
  <c r="N2208" i="1"/>
  <c r="M2208" i="1"/>
  <c r="O2207" i="1"/>
  <c r="O2207" i="1" a="1"/>
  <c r="N2207" i="1"/>
  <c r="M2207" i="1"/>
  <c r="O2206" i="1"/>
  <c r="O2206" i="1" a="1"/>
  <c r="N2206" i="1"/>
  <c r="M2206" i="1"/>
  <c r="O2205" i="1"/>
  <c r="O2205" i="1" a="1"/>
  <c r="N2205" i="1"/>
  <c r="M2205" i="1"/>
  <c r="O2204" i="1"/>
  <c r="O2204" i="1" a="1"/>
  <c r="N2204" i="1"/>
  <c r="M2204" i="1"/>
  <c r="O2203" i="1"/>
  <c r="O2203" i="1" a="1"/>
  <c r="N2203" i="1"/>
  <c r="M2203" i="1"/>
  <c r="O2202" i="1"/>
  <c r="O2202" i="1" a="1"/>
  <c r="N2202" i="1"/>
  <c r="M2202" i="1"/>
  <c r="O2201" i="1"/>
  <c r="O2201" i="1" a="1"/>
  <c r="N2201" i="1"/>
  <c r="M2201" i="1"/>
  <c r="O2200" i="1"/>
  <c r="O2200" i="1" a="1"/>
  <c r="N2200" i="1"/>
  <c r="M2200" i="1"/>
  <c r="O2199" i="1"/>
  <c r="O2199" i="1" a="1"/>
  <c r="N2199" i="1"/>
  <c r="M2199" i="1"/>
  <c r="O2198" i="1"/>
  <c r="O2198" i="1" a="1"/>
  <c r="N2198" i="1"/>
  <c r="M2198" i="1"/>
  <c r="O2197" i="1"/>
  <c r="O2197" i="1" a="1"/>
  <c r="N2197" i="1"/>
  <c r="M2197" i="1"/>
  <c r="O2196" i="1"/>
  <c r="O2196" i="1" a="1"/>
  <c r="N2196" i="1"/>
  <c r="M2196" i="1"/>
  <c r="O2195" i="1"/>
  <c r="O2195" i="1" a="1"/>
  <c r="N2195" i="1"/>
  <c r="M2195" i="1"/>
  <c r="O2194" i="1"/>
  <c r="O2194" i="1" a="1"/>
  <c r="N2194" i="1"/>
  <c r="M2194" i="1"/>
  <c r="O2193" i="1"/>
  <c r="O2193" i="1" a="1"/>
  <c r="N2193" i="1"/>
  <c r="M2193" i="1"/>
  <c r="O2192" i="1"/>
  <c r="O2192" i="1" a="1"/>
  <c r="N2192" i="1"/>
  <c r="M2192" i="1"/>
  <c r="O2191" i="1"/>
  <c r="O2191" i="1" a="1"/>
  <c r="N2191" i="1"/>
  <c r="M2191" i="1"/>
  <c r="O2190" i="1"/>
  <c r="O2190" i="1" a="1"/>
  <c r="N2190" i="1"/>
  <c r="M2190" i="1"/>
  <c r="O2189" i="1"/>
  <c r="O2189" i="1" a="1"/>
  <c r="N2189" i="1"/>
  <c r="M2189" i="1"/>
  <c r="O2188" i="1"/>
  <c r="O2188" i="1" a="1"/>
  <c r="N2188" i="1"/>
  <c r="M2188" i="1"/>
  <c r="O2187" i="1"/>
  <c r="O2187" i="1" a="1"/>
  <c r="N2187" i="1"/>
  <c r="M2187" i="1"/>
  <c r="O2186" i="1"/>
  <c r="O2186" i="1" a="1"/>
  <c r="N2186" i="1"/>
  <c r="M2186" i="1"/>
  <c r="O2185" i="1"/>
  <c r="O2185" i="1" a="1"/>
  <c r="N2185" i="1"/>
  <c r="M2185" i="1"/>
  <c r="O2184" i="1"/>
  <c r="O2184" i="1" a="1"/>
  <c r="N2184" i="1"/>
  <c r="M2184" i="1"/>
  <c r="O2183" i="1"/>
  <c r="O2183" i="1" a="1"/>
  <c r="N2183" i="1"/>
  <c r="M2183" i="1"/>
  <c r="O2182" i="1"/>
  <c r="O2182" i="1" a="1"/>
  <c r="N2182" i="1"/>
  <c r="M2182" i="1"/>
  <c r="O2181" i="1"/>
  <c r="O2181" i="1" a="1"/>
  <c r="N2181" i="1"/>
  <c r="M2181" i="1"/>
  <c r="O2180" i="1"/>
  <c r="O2180" i="1" a="1"/>
  <c r="N2180" i="1"/>
  <c r="M2180" i="1"/>
  <c r="O2179" i="1"/>
  <c r="O2179" i="1" a="1"/>
  <c r="N2179" i="1"/>
  <c r="M2179" i="1"/>
  <c r="O2178" i="1"/>
  <c r="O2178" i="1" a="1"/>
  <c r="N2178" i="1"/>
  <c r="M2178" i="1"/>
  <c r="O2177" i="1"/>
  <c r="O2177" i="1" a="1"/>
  <c r="N2177" i="1"/>
  <c r="M2177" i="1"/>
  <c r="O2176" i="1"/>
  <c r="O2176" i="1" a="1"/>
  <c r="N2176" i="1"/>
  <c r="M2176" i="1"/>
  <c r="O2175" i="1"/>
  <c r="O2175" i="1" a="1"/>
  <c r="N2175" i="1"/>
  <c r="M2175" i="1"/>
  <c r="O2174" i="1"/>
  <c r="O2174" i="1" a="1"/>
  <c r="N2174" i="1"/>
  <c r="M2174" i="1"/>
  <c r="O2173" i="1"/>
  <c r="O2173" i="1" a="1"/>
  <c r="N2173" i="1"/>
  <c r="M2173" i="1"/>
  <c r="O2172" i="1"/>
  <c r="O2172" i="1" a="1"/>
  <c r="N2172" i="1"/>
  <c r="M2172" i="1"/>
  <c r="O2171" i="1"/>
  <c r="O2171" i="1" a="1"/>
  <c r="N2171" i="1"/>
  <c r="M2171" i="1"/>
  <c r="O2170" i="1"/>
  <c r="O2170" i="1" a="1"/>
  <c r="N2170" i="1"/>
  <c r="M2170" i="1"/>
  <c r="O2169" i="1"/>
  <c r="O2169" i="1" a="1"/>
  <c r="N2169" i="1"/>
  <c r="M2169" i="1"/>
  <c r="O2168" i="1"/>
  <c r="O2168" i="1" a="1"/>
  <c r="N2168" i="1"/>
  <c r="M2168" i="1"/>
  <c r="O2167" i="1"/>
  <c r="O2167" i="1" a="1"/>
  <c r="N2167" i="1"/>
  <c r="M2167" i="1"/>
  <c r="O2166" i="1"/>
  <c r="O2166" i="1" a="1"/>
  <c r="N2166" i="1"/>
  <c r="M2166" i="1"/>
  <c r="O2165" i="1"/>
  <c r="O2165" i="1" a="1"/>
  <c r="N2165" i="1"/>
  <c r="M2165" i="1"/>
  <c r="O2164" i="1"/>
  <c r="O2164" i="1" a="1"/>
  <c r="N2164" i="1"/>
  <c r="M2164" i="1"/>
  <c r="O2163" i="1"/>
  <c r="O2163" i="1" a="1"/>
  <c r="N2163" i="1"/>
  <c r="M2163" i="1"/>
  <c r="O2162" i="1"/>
  <c r="O2162" i="1" a="1"/>
  <c r="N2162" i="1"/>
  <c r="M2162" i="1"/>
  <c r="O2161" i="1"/>
  <c r="O2161" i="1" a="1"/>
  <c r="N2161" i="1"/>
  <c r="M2161" i="1"/>
  <c r="O2160" i="1"/>
  <c r="O2160" i="1" a="1"/>
  <c r="N2160" i="1"/>
  <c r="M2160" i="1"/>
  <c r="O2159" i="1"/>
  <c r="O2159" i="1" a="1"/>
  <c r="N2159" i="1"/>
  <c r="M2159" i="1"/>
  <c r="O2158" i="1"/>
  <c r="O2158" i="1" a="1"/>
  <c r="N2158" i="1"/>
  <c r="M2158" i="1"/>
  <c r="O2157" i="1"/>
  <c r="O2157" i="1" a="1"/>
  <c r="N2157" i="1"/>
  <c r="M2157" i="1"/>
  <c r="O2156" i="1"/>
  <c r="O2156" i="1" a="1"/>
  <c r="N2156" i="1"/>
  <c r="M2156" i="1"/>
  <c r="O2155" i="1"/>
  <c r="O2155" i="1" a="1"/>
  <c r="N2155" i="1"/>
  <c r="M2155" i="1"/>
  <c r="O2154" i="1"/>
  <c r="O2154" i="1" a="1"/>
  <c r="N2154" i="1"/>
  <c r="M2154" i="1"/>
  <c r="O2153" i="1"/>
  <c r="O2153" i="1" a="1"/>
  <c r="N2153" i="1"/>
  <c r="M2153" i="1"/>
  <c r="O2152" i="1"/>
  <c r="O2152" i="1" a="1"/>
  <c r="N2152" i="1"/>
  <c r="M2152" i="1"/>
  <c r="O2151" i="1"/>
  <c r="O2151" i="1" a="1"/>
  <c r="N2151" i="1"/>
  <c r="M2151" i="1"/>
  <c r="O2150" i="1"/>
  <c r="O2150" i="1" a="1"/>
  <c r="N2150" i="1"/>
  <c r="M2150" i="1"/>
  <c r="O2149" i="1"/>
  <c r="O2149" i="1" a="1"/>
  <c r="N2149" i="1"/>
  <c r="M2149" i="1"/>
  <c r="O2148" i="1"/>
  <c r="O2148" i="1" a="1"/>
  <c r="N2148" i="1"/>
  <c r="M2148" i="1"/>
  <c r="O2147" i="1"/>
  <c r="O2147" i="1" a="1"/>
  <c r="N2147" i="1"/>
  <c r="M2147" i="1"/>
  <c r="O2146" i="1"/>
  <c r="O2146" i="1" a="1"/>
  <c r="N2146" i="1"/>
  <c r="M2146" i="1"/>
  <c r="O2145" i="1"/>
  <c r="O2145" i="1" a="1"/>
  <c r="N2145" i="1"/>
  <c r="M2145" i="1"/>
  <c r="O2144" i="1"/>
  <c r="O2144" i="1" a="1"/>
  <c r="N2144" i="1"/>
  <c r="M2144" i="1"/>
  <c r="O2143" i="1"/>
  <c r="O2143" i="1" a="1"/>
  <c r="N2143" i="1"/>
  <c r="M2143" i="1"/>
  <c r="O2142" i="1"/>
  <c r="O2142" i="1" a="1"/>
  <c r="N2142" i="1"/>
  <c r="M2142" i="1"/>
  <c r="O2141" i="1"/>
  <c r="O2141" i="1" a="1"/>
  <c r="N2141" i="1"/>
  <c r="M2141" i="1"/>
  <c r="O2140" i="1"/>
  <c r="O2140" i="1" a="1"/>
  <c r="N2140" i="1"/>
  <c r="M2140" i="1"/>
  <c r="O2139" i="1"/>
  <c r="O2139" i="1" a="1"/>
  <c r="N2139" i="1"/>
  <c r="M2139" i="1"/>
  <c r="O2138" i="1"/>
  <c r="O2138" i="1" a="1"/>
  <c r="N2138" i="1"/>
  <c r="M2138" i="1"/>
  <c r="O2137" i="1"/>
  <c r="O2137" i="1" a="1"/>
  <c r="N2137" i="1"/>
  <c r="M2137" i="1"/>
  <c r="O2136" i="1"/>
  <c r="O2136" i="1" a="1"/>
  <c r="N2136" i="1"/>
  <c r="M2136" i="1"/>
  <c r="O2135" i="1"/>
  <c r="O2135" i="1" a="1"/>
  <c r="N2135" i="1"/>
  <c r="M2135" i="1"/>
  <c r="O2134" i="1"/>
  <c r="O2134" i="1" a="1"/>
  <c r="N2134" i="1"/>
  <c r="M2134" i="1"/>
  <c r="O2133" i="1"/>
  <c r="O2133" i="1" a="1"/>
  <c r="N2133" i="1"/>
  <c r="M2133" i="1"/>
  <c r="O2132" i="1"/>
  <c r="O2132" i="1" a="1"/>
  <c r="N2132" i="1"/>
  <c r="M2132" i="1"/>
  <c r="O2131" i="1"/>
  <c r="O2131" i="1" a="1"/>
  <c r="N2131" i="1"/>
  <c r="M2131" i="1"/>
  <c r="O2130" i="1"/>
  <c r="O2130" i="1" a="1"/>
  <c r="N2130" i="1"/>
  <c r="M2130" i="1"/>
  <c r="O2129" i="1"/>
  <c r="O2129" i="1" a="1"/>
  <c r="N2129" i="1"/>
  <c r="M2129" i="1"/>
  <c r="O2128" i="1"/>
  <c r="O2128" i="1" a="1"/>
  <c r="N2128" i="1"/>
  <c r="M2128" i="1"/>
  <c r="O2127" i="1"/>
  <c r="O2127" i="1" a="1"/>
  <c r="N2127" i="1"/>
  <c r="M2127" i="1"/>
  <c r="O2126" i="1"/>
  <c r="O2126" i="1" a="1"/>
  <c r="N2126" i="1"/>
  <c r="M2126" i="1"/>
  <c r="O2125" i="1"/>
  <c r="O2125" i="1" a="1"/>
  <c r="N2125" i="1"/>
  <c r="M2125" i="1"/>
  <c r="O2124" i="1"/>
  <c r="O2124" i="1" a="1"/>
  <c r="N2124" i="1"/>
  <c r="M2124" i="1"/>
  <c r="O2123" i="1"/>
  <c r="O2123" i="1" a="1"/>
  <c r="N2123" i="1"/>
  <c r="M2123" i="1"/>
  <c r="O2122" i="1"/>
  <c r="O2122" i="1" a="1"/>
  <c r="N2122" i="1"/>
  <c r="M2122" i="1"/>
  <c r="O2121" i="1"/>
  <c r="O2121" i="1" a="1"/>
  <c r="N2121" i="1"/>
  <c r="M2121" i="1"/>
  <c r="O2120" i="1"/>
  <c r="O2120" i="1" a="1"/>
  <c r="N2120" i="1"/>
  <c r="M2120" i="1"/>
  <c r="O2119" i="1"/>
  <c r="O2119" i="1" a="1"/>
  <c r="N2119" i="1"/>
  <c r="M2119" i="1"/>
  <c r="O2118" i="1"/>
  <c r="O2118" i="1" a="1"/>
  <c r="N2118" i="1"/>
  <c r="M2118" i="1"/>
  <c r="O2117" i="1"/>
  <c r="O2117" i="1" a="1"/>
  <c r="N2117" i="1"/>
  <c r="M2117" i="1"/>
  <c r="O2116" i="1"/>
  <c r="O2116" i="1" a="1"/>
  <c r="N2116" i="1"/>
  <c r="M2116" i="1"/>
  <c r="O2115" i="1"/>
  <c r="O2115" i="1" a="1"/>
  <c r="N2115" i="1"/>
  <c r="M2115" i="1"/>
  <c r="O2114" i="1"/>
  <c r="O2114" i="1" a="1"/>
  <c r="N2114" i="1"/>
  <c r="M2114" i="1"/>
  <c r="O2113" i="1"/>
  <c r="O2113" i="1" a="1"/>
  <c r="N2113" i="1"/>
  <c r="M2113" i="1"/>
  <c r="O2112" i="1"/>
  <c r="O2112" i="1" a="1"/>
  <c r="N2112" i="1"/>
  <c r="M2112" i="1"/>
  <c r="O2111" i="1"/>
  <c r="O2111" i="1" a="1"/>
  <c r="N2111" i="1"/>
  <c r="M2111" i="1"/>
  <c r="O2110" i="1"/>
  <c r="O2110" i="1" a="1"/>
  <c r="N2110" i="1"/>
  <c r="M2110" i="1"/>
  <c r="O2109" i="1"/>
  <c r="O2109" i="1" a="1"/>
  <c r="N2109" i="1"/>
  <c r="M2109" i="1"/>
  <c r="O2108" i="1"/>
  <c r="O2108" i="1" a="1"/>
  <c r="N2108" i="1"/>
  <c r="M2108" i="1"/>
  <c r="O2107" i="1"/>
  <c r="O2107" i="1" a="1"/>
  <c r="N2107" i="1"/>
  <c r="M2107" i="1"/>
  <c r="O2106" i="1"/>
  <c r="O2106" i="1" a="1"/>
  <c r="N2106" i="1"/>
  <c r="M2106" i="1"/>
  <c r="O2105" i="1"/>
  <c r="O2105" i="1" a="1"/>
  <c r="N2105" i="1"/>
  <c r="M2105" i="1"/>
  <c r="O2104" i="1"/>
  <c r="O2104" i="1" a="1"/>
  <c r="N2104" i="1"/>
  <c r="M2104" i="1"/>
  <c r="O2103" i="1"/>
  <c r="O2103" i="1" a="1"/>
  <c r="N2103" i="1"/>
  <c r="M2103" i="1"/>
  <c r="O2102" i="1"/>
  <c r="O2102" i="1" a="1"/>
  <c r="N2102" i="1"/>
  <c r="M2102" i="1"/>
  <c r="O2101" i="1"/>
  <c r="O2101" i="1" a="1"/>
  <c r="N2101" i="1"/>
  <c r="M2101" i="1"/>
  <c r="O2100" i="1"/>
  <c r="O2100" i="1" a="1"/>
  <c r="N2100" i="1"/>
  <c r="M2100" i="1"/>
  <c r="O2099" i="1"/>
  <c r="O2099" i="1" a="1"/>
  <c r="N2099" i="1"/>
  <c r="M2099" i="1"/>
  <c r="O2098" i="1"/>
  <c r="O2098" i="1" a="1"/>
  <c r="N2098" i="1"/>
  <c r="M2098" i="1"/>
  <c r="O2097" i="1"/>
  <c r="O2097" i="1" a="1"/>
  <c r="N2097" i="1"/>
  <c r="M2097" i="1"/>
  <c r="O2096" i="1"/>
  <c r="O2096" i="1" a="1"/>
  <c r="N2096" i="1"/>
  <c r="M2096" i="1"/>
  <c r="O2095" i="1"/>
  <c r="O2095" i="1" a="1"/>
  <c r="N2095" i="1"/>
  <c r="M2095" i="1"/>
  <c r="O2094" i="1"/>
  <c r="O2094" i="1" a="1"/>
  <c r="N2094" i="1"/>
  <c r="M2094" i="1"/>
  <c r="O2093" i="1"/>
  <c r="O2093" i="1" a="1"/>
  <c r="N2093" i="1"/>
  <c r="M2093" i="1"/>
  <c r="O2092" i="1"/>
  <c r="O2092" i="1" a="1"/>
  <c r="N2092" i="1"/>
  <c r="M2092" i="1"/>
  <c r="O2091" i="1"/>
  <c r="O2091" i="1" a="1"/>
  <c r="N2091" i="1"/>
  <c r="M2091" i="1"/>
  <c r="O2090" i="1"/>
  <c r="O2090" i="1" a="1"/>
  <c r="N2090" i="1"/>
  <c r="M2090" i="1"/>
  <c r="O2089" i="1"/>
  <c r="O2089" i="1" a="1"/>
  <c r="N2089" i="1"/>
  <c r="M2089" i="1"/>
  <c r="O2088" i="1"/>
  <c r="O2088" i="1" a="1"/>
  <c r="N2088" i="1"/>
  <c r="M2088" i="1"/>
  <c r="O2087" i="1"/>
  <c r="O2087" i="1" a="1"/>
  <c r="N2087" i="1"/>
  <c r="M2087" i="1"/>
  <c r="O2086" i="1"/>
  <c r="O2086" i="1" a="1"/>
  <c r="N2086" i="1"/>
  <c r="M2086" i="1"/>
  <c r="O2085" i="1"/>
  <c r="O2085" i="1" a="1"/>
  <c r="N2085" i="1"/>
  <c r="M2085" i="1"/>
  <c r="O2084" i="1"/>
  <c r="O2084" i="1" a="1"/>
  <c r="N2084" i="1"/>
  <c r="M2084" i="1"/>
  <c r="O2083" i="1"/>
  <c r="O2083" i="1" a="1"/>
  <c r="N2083" i="1"/>
  <c r="M2083" i="1"/>
  <c r="O2082" i="1"/>
  <c r="O2082" i="1" a="1"/>
  <c r="N2082" i="1"/>
  <c r="M2082" i="1"/>
  <c r="O2081" i="1"/>
  <c r="O2081" i="1" a="1"/>
  <c r="N2081" i="1"/>
  <c r="M2081" i="1"/>
  <c r="O2080" i="1"/>
  <c r="O2080" i="1" a="1"/>
  <c r="N2080" i="1"/>
  <c r="M2080" i="1"/>
  <c r="O2079" i="1"/>
  <c r="O2079" i="1" a="1"/>
  <c r="N2079" i="1"/>
  <c r="M2079" i="1"/>
  <c r="O2078" i="1"/>
  <c r="O2078" i="1" a="1"/>
  <c r="N2078" i="1"/>
  <c r="M2078" i="1"/>
  <c r="O2077" i="1"/>
  <c r="O2077" i="1" a="1"/>
  <c r="N2077" i="1"/>
  <c r="M2077" i="1"/>
  <c r="O2076" i="1"/>
  <c r="O2076" i="1" a="1"/>
  <c r="N2076" i="1"/>
  <c r="M2076" i="1"/>
  <c r="O2075" i="1"/>
  <c r="O2075" i="1" a="1"/>
  <c r="N2075" i="1"/>
  <c r="M2075" i="1"/>
  <c r="O2074" i="1"/>
  <c r="O2074" i="1" a="1"/>
  <c r="N2074" i="1"/>
  <c r="M2074" i="1"/>
  <c r="O2073" i="1"/>
  <c r="O2073" i="1" a="1"/>
  <c r="N2073" i="1"/>
  <c r="M2073" i="1"/>
  <c r="O2072" i="1"/>
  <c r="O2072" i="1" a="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c r="O2021" i="1" a="1"/>
  <c r="N2021" i="1"/>
  <c r="M2021" i="1"/>
  <c r="O2020" i="1"/>
  <c r="O2020" i="1" a="1"/>
  <c r="N2020" i="1"/>
  <c r="M2020" i="1"/>
  <c r="O2019" i="1"/>
  <c r="O2019" i="1" a="1"/>
  <c r="N2019" i="1"/>
  <c r="M2019" i="1"/>
  <c r="O2018" i="1"/>
  <c r="O2018" i="1" a="1"/>
  <c r="N2018" i="1"/>
  <c r="M2018" i="1"/>
  <c r="O2017" i="1"/>
  <c r="O2017" i="1" a="1"/>
  <c r="N2017" i="1"/>
  <c r="M2017" i="1"/>
  <c r="O2016" i="1"/>
  <c r="O2016" i="1" a="1"/>
  <c r="N2016" i="1"/>
  <c r="M2016" i="1"/>
  <c r="O2015" i="1"/>
  <c r="O2015" i="1" a="1"/>
  <c r="N2015" i="1"/>
  <c r="M2015" i="1"/>
  <c r="O2014" i="1"/>
  <c r="O2014" i="1" a="1"/>
  <c r="N2014" i="1"/>
  <c r="M2014" i="1"/>
  <c r="O2013" i="1"/>
  <c r="O2013" i="1" a="1"/>
  <c r="N2013" i="1"/>
  <c r="M2013" i="1"/>
  <c r="O2012" i="1"/>
  <c r="O2012" i="1" a="1"/>
  <c r="N2012" i="1"/>
  <c r="M2012" i="1"/>
  <c r="O2011" i="1"/>
  <c r="O2011" i="1" a="1"/>
  <c r="N2011" i="1"/>
  <c r="M2011" i="1"/>
  <c r="O2010" i="1"/>
  <c r="O2010" i="1" a="1"/>
  <c r="N2010" i="1"/>
  <c r="M2010" i="1"/>
  <c r="O2009" i="1"/>
  <c r="O2009" i="1" a="1"/>
  <c r="N2009" i="1"/>
  <c r="M2009" i="1"/>
  <c r="O2008" i="1"/>
  <c r="O2008" i="1" a="1"/>
  <c r="N2008" i="1"/>
  <c r="M2008" i="1"/>
  <c r="O2007" i="1"/>
  <c r="O2007" i="1" a="1"/>
  <c r="N2007" i="1"/>
  <c r="M2007" i="1"/>
  <c r="O2006" i="1"/>
  <c r="O2006" i="1" a="1"/>
  <c r="N2006" i="1"/>
  <c r="M2006" i="1"/>
  <c r="O2005" i="1"/>
  <c r="O2005" i="1" a="1"/>
  <c r="N2005" i="1"/>
  <c r="M2005" i="1"/>
  <c r="O2004" i="1"/>
  <c r="O2004" i="1" a="1"/>
  <c r="N2004" i="1"/>
  <c r="M2004" i="1"/>
  <c r="O2003" i="1"/>
  <c r="O2003" i="1" a="1"/>
  <c r="N2003" i="1"/>
  <c r="M2003" i="1"/>
  <c r="O2002" i="1"/>
  <c r="O2002" i="1" a="1"/>
  <c r="N2002" i="1"/>
  <c r="M2002" i="1"/>
  <c r="O2001" i="1"/>
  <c r="O2001" i="1" a="1"/>
  <c r="N2001" i="1"/>
  <c r="M2001" i="1"/>
  <c r="O2000" i="1"/>
  <c r="O2000" i="1" a="1"/>
  <c r="N2000" i="1"/>
  <c r="M2000" i="1"/>
  <c r="O1999" i="1"/>
  <c r="O1999" i="1" a="1"/>
  <c r="N1999" i="1"/>
  <c r="M1999" i="1"/>
  <c r="O1998" i="1"/>
  <c r="O1998" i="1" a="1"/>
  <c r="N1998" i="1"/>
  <c r="M1998" i="1"/>
  <c r="O1997" i="1"/>
  <c r="O1997" i="1" a="1"/>
  <c r="N1997" i="1"/>
  <c r="M1997" i="1"/>
  <c r="O1996" i="1"/>
  <c r="O1996" i="1" a="1"/>
  <c r="N1996" i="1"/>
  <c r="M1996" i="1"/>
  <c r="O1995" i="1"/>
  <c r="O1995" i="1" a="1"/>
  <c r="N1995" i="1"/>
  <c r="M1995" i="1"/>
  <c r="O1994" i="1"/>
  <c r="O1994" i="1" a="1"/>
  <c r="N1994" i="1"/>
  <c r="M1994" i="1"/>
  <c r="O1993" i="1"/>
  <c r="O1993" i="1" a="1"/>
  <c r="N1993" i="1"/>
  <c r="M1993" i="1"/>
  <c r="O1992" i="1"/>
  <c r="O1992" i="1" a="1"/>
  <c r="N1992" i="1"/>
  <c r="M1992" i="1"/>
  <c r="O1991" i="1"/>
  <c r="O1991" i="1" a="1"/>
  <c r="N1991" i="1"/>
  <c r="M1991" i="1"/>
  <c r="O1990" i="1"/>
  <c r="O1990" i="1" a="1"/>
  <c r="N1990" i="1"/>
  <c r="M1990" i="1"/>
  <c r="O1989" i="1"/>
  <c r="O1989" i="1" a="1"/>
  <c r="N1989" i="1"/>
  <c r="M1989" i="1"/>
  <c r="O1988" i="1"/>
  <c r="O1988" i="1" a="1"/>
  <c r="N1988" i="1"/>
  <c r="M1988" i="1"/>
  <c r="O1987" i="1"/>
  <c r="O1987" i="1" a="1"/>
  <c r="N1987" i="1"/>
  <c r="M1987" i="1"/>
  <c r="O1986" i="1"/>
  <c r="O1986" i="1" a="1"/>
  <c r="N1986" i="1"/>
  <c r="M1986" i="1"/>
  <c r="O1985" i="1"/>
  <c r="O1985" i="1" a="1"/>
  <c r="N1985" i="1"/>
  <c r="M1985" i="1"/>
  <c r="O1984" i="1"/>
  <c r="O1984" i="1" a="1"/>
  <c r="N1984" i="1"/>
  <c r="M1984" i="1"/>
  <c r="O1983" i="1"/>
  <c r="O1983" i="1" a="1"/>
  <c r="N1983" i="1"/>
  <c r="M1983" i="1"/>
  <c r="O1982" i="1"/>
  <c r="O1982" i="1" a="1"/>
  <c r="N1982" i="1"/>
  <c r="M1982" i="1"/>
  <c r="O1981" i="1"/>
  <c r="O1981" i="1" a="1"/>
  <c r="N1981" i="1"/>
  <c r="M1981" i="1"/>
  <c r="O1980" i="1"/>
  <c r="O1980" i="1" a="1"/>
  <c r="N1980" i="1"/>
  <c r="M1980" i="1"/>
  <c r="O1979" i="1"/>
  <c r="O1979" i="1" a="1"/>
  <c r="N1979" i="1"/>
  <c r="M1979" i="1"/>
  <c r="O1978" i="1"/>
  <c r="O1978" i="1" a="1"/>
  <c r="N1978" i="1"/>
  <c r="M1978" i="1"/>
  <c r="O1977" i="1"/>
  <c r="O1977" i="1" a="1"/>
  <c r="N1977" i="1"/>
  <c r="M1977" i="1"/>
  <c r="O1976" i="1"/>
  <c r="O1976" i="1" a="1"/>
  <c r="N1976" i="1"/>
  <c r="M1976" i="1"/>
  <c r="O1975" i="1"/>
  <c r="O1975" i="1" a="1"/>
  <c r="N1975" i="1"/>
  <c r="M1975" i="1"/>
  <c r="O1974" i="1"/>
  <c r="O1974" i="1" a="1"/>
  <c r="N1974" i="1"/>
  <c r="M1974" i="1"/>
  <c r="O1973" i="1"/>
  <c r="O1973" i="1" a="1"/>
  <c r="N1973" i="1"/>
  <c r="M1973" i="1"/>
  <c r="O1972" i="1"/>
  <c r="O1972" i="1" a="1"/>
  <c r="N1972" i="1"/>
  <c r="M1972" i="1"/>
  <c r="O1971" i="1"/>
  <c r="O1971" i="1" a="1"/>
  <c r="N1971" i="1"/>
  <c r="M1971" i="1"/>
  <c r="O1970" i="1"/>
  <c r="O1970" i="1" a="1"/>
  <c r="N1970" i="1"/>
  <c r="M1970" i="1"/>
  <c r="O1969" i="1"/>
  <c r="O1969" i="1" a="1"/>
  <c r="N1969" i="1"/>
  <c r="M1969" i="1"/>
  <c r="O1968" i="1"/>
  <c r="O1968" i="1" a="1"/>
  <c r="N1968" i="1"/>
  <c r="M1968" i="1"/>
  <c r="O1967" i="1"/>
  <c r="O1967" i="1" a="1"/>
  <c r="N1967" i="1"/>
  <c r="M1967" i="1"/>
  <c r="O1966" i="1"/>
  <c r="O1966" i="1" a="1"/>
  <c r="N1966" i="1"/>
  <c r="M1966" i="1"/>
  <c r="O1965" i="1"/>
  <c r="O1965" i="1" a="1"/>
  <c r="N1965" i="1"/>
  <c r="M1965" i="1"/>
  <c r="O1964" i="1"/>
  <c r="O1964" i="1" a="1"/>
  <c r="N1964" i="1"/>
  <c r="M1964" i="1"/>
  <c r="O1963" i="1"/>
  <c r="O1963" i="1" a="1"/>
  <c r="N1963" i="1"/>
  <c r="M1963" i="1"/>
  <c r="O1962" i="1"/>
  <c r="O1962" i="1" a="1"/>
  <c r="N1962" i="1"/>
  <c r="M1962" i="1"/>
  <c r="O1961" i="1"/>
  <c r="O1961" i="1" a="1"/>
  <c r="N1961" i="1"/>
  <c r="M1961" i="1"/>
  <c r="O1960" i="1"/>
  <c r="O1960" i="1" a="1"/>
  <c r="N1960" i="1"/>
  <c r="M1960" i="1"/>
  <c r="O1959" i="1"/>
  <c r="O1959" i="1" a="1"/>
  <c r="N1959" i="1"/>
  <c r="M1959" i="1"/>
  <c r="O1958" i="1"/>
  <c r="O1958" i="1" a="1"/>
  <c r="N1958" i="1"/>
  <c r="M1958" i="1"/>
  <c r="O1957" i="1"/>
  <c r="O1957" i="1" a="1"/>
  <c r="N1957" i="1"/>
  <c r="M1957" i="1"/>
  <c r="O1956" i="1"/>
  <c r="O1956" i="1" a="1"/>
  <c r="N1956" i="1"/>
  <c r="M1956" i="1"/>
  <c r="O1955" i="1"/>
  <c r="O1955" i="1" a="1"/>
  <c r="N1955" i="1"/>
  <c r="M1955" i="1"/>
  <c r="O1954" i="1"/>
  <c r="O1954" i="1" a="1"/>
  <c r="N1954" i="1"/>
  <c r="M1954" i="1"/>
  <c r="O1953" i="1"/>
  <c r="O1953" i="1" a="1"/>
  <c r="N1953" i="1"/>
  <c r="M1953" i="1"/>
  <c r="O1952" i="1"/>
  <c r="O1952" i="1" a="1"/>
  <c r="N1952" i="1"/>
  <c r="M1952" i="1"/>
  <c r="O1951" i="1"/>
  <c r="O1951" i="1" a="1"/>
  <c r="N1951" i="1"/>
  <c r="M1951" i="1"/>
  <c r="O1950" i="1"/>
  <c r="O1950" i="1" a="1"/>
  <c r="N1950" i="1"/>
  <c r="M1950" i="1"/>
  <c r="O1949" i="1"/>
  <c r="O1949" i="1" a="1"/>
  <c r="N1949" i="1"/>
  <c r="M1949" i="1"/>
  <c r="O1948" i="1"/>
  <c r="O1948" i="1" a="1"/>
  <c r="N1948" i="1"/>
  <c r="M1948" i="1"/>
  <c r="O1947" i="1"/>
  <c r="O1947" i="1" a="1"/>
  <c r="N1947" i="1"/>
  <c r="M1947" i="1"/>
  <c r="O1946" i="1"/>
  <c r="O1946" i="1" a="1"/>
  <c r="N1946" i="1"/>
  <c r="M1946" i="1"/>
  <c r="O1945" i="1"/>
  <c r="O1945" i="1" a="1"/>
  <c r="N1945" i="1"/>
  <c r="M1945" i="1"/>
  <c r="O1944" i="1"/>
  <c r="O1944" i="1" a="1"/>
  <c r="N1944" i="1"/>
  <c r="M1944" i="1"/>
  <c r="O1943" i="1"/>
  <c r="O1943" i="1" a="1"/>
  <c r="N1943" i="1"/>
  <c r="M1943" i="1"/>
  <c r="O1942" i="1"/>
  <c r="O1942" i="1" a="1"/>
  <c r="N1942" i="1"/>
  <c r="M1942" i="1"/>
  <c r="O1941" i="1"/>
  <c r="O1941" i="1" a="1"/>
  <c r="N1941" i="1"/>
  <c r="M1941" i="1"/>
  <c r="O1940" i="1"/>
  <c r="O1940" i="1" a="1"/>
  <c r="N1940" i="1"/>
  <c r="M1940" i="1"/>
  <c r="O1939" i="1"/>
  <c r="O1939" i="1" a="1"/>
  <c r="N1939" i="1"/>
  <c r="M1939" i="1"/>
  <c r="O1938" i="1"/>
  <c r="O1938" i="1" a="1"/>
  <c r="N1938" i="1"/>
  <c r="M1938" i="1"/>
  <c r="O1937" i="1"/>
  <c r="O1937" i="1" a="1"/>
  <c r="N1937" i="1"/>
  <c r="M1937" i="1"/>
  <c r="O1936" i="1"/>
  <c r="O1936" i="1" a="1"/>
  <c r="N1936" i="1"/>
  <c r="M1936" i="1"/>
  <c r="O1935" i="1"/>
  <c r="O1935" i="1" a="1"/>
  <c r="N1935" i="1"/>
  <c r="M1935" i="1"/>
  <c r="O1934" i="1"/>
  <c r="O1934" i="1" a="1"/>
  <c r="N1934" i="1"/>
  <c r="M1934" i="1"/>
  <c r="O1933" i="1"/>
  <c r="O1933" i="1" a="1"/>
  <c r="N1933" i="1"/>
  <c r="M1933" i="1"/>
  <c r="O1932" i="1"/>
  <c r="O1932" i="1" a="1"/>
  <c r="N1932" i="1"/>
  <c r="M1932" i="1"/>
  <c r="O1931" i="1"/>
  <c r="O1931" i="1" a="1"/>
  <c r="N1931" i="1"/>
  <c r="M1931" i="1"/>
  <c r="O1930" i="1"/>
  <c r="O1930" i="1" a="1"/>
  <c r="N1930" i="1"/>
  <c r="M1930" i="1"/>
  <c r="O1929" i="1"/>
  <c r="O1929" i="1" a="1"/>
  <c r="N1929" i="1"/>
  <c r="M1929" i="1"/>
  <c r="O1928" i="1"/>
  <c r="O1928" i="1" a="1"/>
  <c r="N1928" i="1"/>
  <c r="M1928" i="1"/>
  <c r="O1927" i="1"/>
  <c r="O1927" i="1" a="1"/>
  <c r="N1927" i="1"/>
  <c r="M1927" i="1"/>
  <c r="O1926" i="1"/>
  <c r="O1926" i="1" a="1"/>
  <c r="N1926" i="1"/>
  <c r="M1926" i="1"/>
  <c r="O1925" i="1"/>
  <c r="O1925" i="1" a="1"/>
  <c r="N1925" i="1"/>
  <c r="M1925" i="1"/>
  <c r="O1924" i="1"/>
  <c r="O1924" i="1" a="1"/>
  <c r="N1924" i="1"/>
  <c r="M1924" i="1"/>
  <c r="O1923" i="1"/>
  <c r="O1923" i="1" a="1"/>
  <c r="N1923" i="1"/>
  <c r="M1923" i="1"/>
  <c r="O1922" i="1"/>
  <c r="O1922" i="1" a="1"/>
  <c r="N1922" i="1"/>
  <c r="M1922" i="1"/>
  <c r="O1921" i="1"/>
  <c r="O1921" i="1" a="1"/>
  <c r="N1921" i="1"/>
  <c r="M1921" i="1"/>
  <c r="O1920" i="1"/>
  <c r="O1920" i="1" a="1"/>
  <c r="N1920" i="1"/>
  <c r="M1920" i="1"/>
  <c r="O1919" i="1"/>
  <c r="O1919" i="1" a="1"/>
  <c r="N1919" i="1"/>
  <c r="M1919" i="1"/>
  <c r="O1918" i="1"/>
  <c r="O1918" i="1" a="1"/>
  <c r="N1918" i="1"/>
  <c r="M1918" i="1"/>
  <c r="O1917" i="1"/>
  <c r="O1917" i="1" a="1"/>
  <c r="N1917" i="1"/>
  <c r="M1917" i="1"/>
  <c r="O1916" i="1"/>
  <c r="O1916" i="1" a="1"/>
  <c r="N1916" i="1"/>
  <c r="M1916" i="1"/>
  <c r="O1915" i="1"/>
  <c r="O1915" i="1" a="1"/>
  <c r="N1915" i="1"/>
  <c r="M1915" i="1"/>
  <c r="O1914" i="1"/>
  <c r="O1914" i="1" a="1"/>
  <c r="N1914" i="1"/>
  <c r="M1914" i="1"/>
  <c r="O1913" i="1"/>
  <c r="O1913" i="1" a="1"/>
  <c r="N1913" i="1"/>
  <c r="M1913" i="1"/>
  <c r="O1912" i="1"/>
  <c r="O1912" i="1" a="1"/>
  <c r="N1912" i="1"/>
  <c r="M1912" i="1"/>
  <c r="O1911" i="1"/>
  <c r="O1911" i="1" a="1"/>
  <c r="N1911" i="1"/>
  <c r="M1911" i="1"/>
  <c r="O1910" i="1"/>
  <c r="O1910" i="1" a="1"/>
  <c r="N1910" i="1"/>
  <c r="M1910" i="1"/>
  <c r="O1909" i="1"/>
  <c r="O1909" i="1" a="1"/>
  <c r="N1909" i="1"/>
  <c r="M1909" i="1"/>
  <c r="O1908" i="1"/>
  <c r="O1908" i="1" a="1"/>
  <c r="N1908" i="1"/>
  <c r="M1908" i="1"/>
  <c r="O1907" i="1"/>
  <c r="O1907" i="1" a="1"/>
  <c r="N1907" i="1"/>
  <c r="M1907" i="1"/>
  <c r="O1906" i="1"/>
  <c r="O1906" i="1" a="1"/>
  <c r="N1906" i="1"/>
  <c r="M1906" i="1"/>
  <c r="O1905" i="1"/>
  <c r="O1905" i="1" a="1"/>
  <c r="N1905" i="1"/>
  <c r="M1905" i="1"/>
  <c r="O1904" i="1"/>
  <c r="O1904" i="1" a="1"/>
  <c r="N1904" i="1"/>
  <c r="M1904" i="1"/>
  <c r="O1903" i="1"/>
  <c r="O1903" i="1" a="1"/>
  <c r="N1903" i="1"/>
  <c r="M1903" i="1"/>
  <c r="O1902" i="1"/>
  <c r="O1902" i="1" a="1"/>
  <c r="N1902" i="1"/>
  <c r="M1902" i="1"/>
  <c r="O1901" i="1"/>
  <c r="O1901" i="1" a="1"/>
  <c r="N1901" i="1"/>
  <c r="M1901" i="1"/>
  <c r="O1900" i="1"/>
  <c r="O1900" i="1" a="1"/>
  <c r="N1900" i="1"/>
  <c r="M1900" i="1"/>
  <c r="O1899" i="1"/>
  <c r="O1899" i="1" a="1"/>
  <c r="N1899" i="1"/>
  <c r="M1899" i="1"/>
  <c r="O1898" i="1"/>
  <c r="O1898" i="1" a="1"/>
  <c r="N1898" i="1"/>
  <c r="M1898" i="1"/>
  <c r="O1897" i="1"/>
  <c r="O1897" i="1" a="1"/>
  <c r="N1897" i="1"/>
  <c r="M1897" i="1"/>
  <c r="O1896" i="1"/>
  <c r="O1896" i="1" a="1"/>
  <c r="N1896" i="1"/>
  <c r="M1896" i="1"/>
  <c r="O1895" i="1"/>
  <c r="O1895" i="1" a="1"/>
  <c r="N1895" i="1"/>
  <c r="M1895" i="1"/>
  <c r="O1894" i="1"/>
  <c r="O1894" i="1" a="1"/>
  <c r="N1894" i="1"/>
  <c r="M1894" i="1"/>
  <c r="O1893" i="1"/>
  <c r="O1893" i="1" a="1"/>
  <c r="N1893" i="1"/>
  <c r="M1893" i="1"/>
  <c r="O1892" i="1"/>
  <c r="O1892" i="1" a="1"/>
  <c r="N1892" i="1"/>
  <c r="M1892" i="1"/>
  <c r="O1891" i="1"/>
  <c r="O1891" i="1" a="1"/>
  <c r="N1891" i="1"/>
  <c r="M1891" i="1"/>
  <c r="O1890" i="1"/>
  <c r="O1890" i="1" a="1"/>
  <c r="N1890" i="1"/>
  <c r="M1890" i="1"/>
  <c r="O1889" i="1"/>
  <c r="O1889" i="1" a="1"/>
  <c r="N1889" i="1"/>
  <c r="M1889" i="1"/>
  <c r="O1888" i="1"/>
  <c r="O1888" i="1" a="1"/>
  <c r="N1888" i="1"/>
  <c r="M1888" i="1"/>
  <c r="O1887" i="1"/>
  <c r="O1887" i="1" a="1"/>
  <c r="N1887" i="1"/>
  <c r="M1887" i="1"/>
  <c r="O1886" i="1"/>
  <c r="O1886" i="1" a="1"/>
  <c r="N1886" i="1"/>
  <c r="M1886" i="1"/>
  <c r="O1885" i="1"/>
  <c r="O1885" i="1" a="1"/>
  <c r="N1885" i="1"/>
  <c r="M1885" i="1"/>
  <c r="O1884" i="1"/>
  <c r="O1884" i="1" a="1"/>
  <c r="N1884" i="1"/>
  <c r="M1884" i="1"/>
  <c r="O1883" i="1"/>
  <c r="O1883" i="1" a="1"/>
  <c r="N1883" i="1"/>
  <c r="M1883" i="1"/>
  <c r="O1882" i="1"/>
  <c r="O1882" i="1" a="1"/>
  <c r="N1882" i="1"/>
  <c r="M1882" i="1"/>
  <c r="O1881" i="1"/>
  <c r="O1881" i="1" a="1"/>
  <c r="N1881" i="1"/>
  <c r="M1881" i="1"/>
  <c r="O1880" i="1"/>
  <c r="O1880" i="1" a="1"/>
  <c r="N1880" i="1"/>
  <c r="M1880" i="1"/>
  <c r="O1879" i="1"/>
  <c r="O1879" i="1" a="1"/>
  <c r="N1879" i="1"/>
  <c r="M1879" i="1"/>
  <c r="O1878" i="1"/>
  <c r="O1878" i="1" a="1"/>
  <c r="N1878" i="1"/>
  <c r="M1878" i="1"/>
  <c r="O1877" i="1"/>
  <c r="O1877" i="1" a="1"/>
  <c r="N1877" i="1"/>
  <c r="M1877" i="1"/>
  <c r="O1876" i="1"/>
  <c r="O1876" i="1" a="1"/>
  <c r="N1876" i="1"/>
  <c r="M1876" i="1"/>
  <c r="O1875" i="1"/>
  <c r="O1875" i="1" a="1"/>
  <c r="N1875" i="1"/>
  <c r="M1875" i="1"/>
  <c r="O1874" i="1"/>
  <c r="O1874" i="1" a="1"/>
  <c r="N1874" i="1"/>
  <c r="M1874" i="1"/>
  <c r="O1873" i="1"/>
  <c r="O1873" i="1" a="1"/>
  <c r="N1873" i="1"/>
  <c r="M1873" i="1"/>
  <c r="O1872" i="1"/>
  <c r="O1872" i="1" a="1"/>
  <c r="N1872" i="1"/>
  <c r="M1872" i="1"/>
  <c r="O1871" i="1"/>
  <c r="O1871" i="1" a="1"/>
  <c r="N1871" i="1"/>
  <c r="M1871" i="1"/>
  <c r="O1870" i="1"/>
  <c r="O1870" i="1" a="1"/>
  <c r="N1870" i="1"/>
  <c r="M1870" i="1"/>
  <c r="O1869" i="1"/>
  <c r="O1869" i="1" a="1"/>
  <c r="N1869" i="1"/>
  <c r="M1869" i="1"/>
  <c r="O1868" i="1"/>
  <c r="O1868" i="1" a="1"/>
  <c r="N1868" i="1"/>
  <c r="M1868" i="1"/>
  <c r="O1867" i="1"/>
  <c r="O1867" i="1" a="1"/>
  <c r="N1867" i="1"/>
  <c r="M1867" i="1"/>
  <c r="O1866" i="1"/>
  <c r="O1866" i="1" a="1"/>
  <c r="N1866" i="1"/>
  <c r="M1866" i="1"/>
  <c r="O1865" i="1"/>
  <c r="O1865" i="1" a="1"/>
  <c r="N1865" i="1"/>
  <c r="M1865" i="1"/>
  <c r="O1864" i="1"/>
  <c r="O1864" i="1" a="1"/>
  <c r="N1864" i="1"/>
  <c r="M1864" i="1"/>
  <c r="O1863" i="1"/>
  <c r="O1863" i="1" a="1"/>
  <c r="N1863" i="1"/>
  <c r="M1863" i="1"/>
  <c r="O1862" i="1"/>
  <c r="O1862" i="1" a="1"/>
  <c r="N1862" i="1"/>
  <c r="M1862" i="1"/>
  <c r="O1861" i="1"/>
  <c r="O1861" i="1" a="1"/>
  <c r="N1861" i="1"/>
  <c r="M1861" i="1"/>
  <c r="O1860" i="1"/>
  <c r="O1860" i="1" a="1"/>
  <c r="N1860" i="1"/>
  <c r="M1860" i="1"/>
  <c r="O1859" i="1"/>
  <c r="O1859" i="1" a="1"/>
  <c r="N1859" i="1"/>
  <c r="M1859" i="1"/>
  <c r="O1858" i="1"/>
  <c r="O1858" i="1" a="1"/>
  <c r="N1858" i="1"/>
  <c r="M1858" i="1"/>
  <c r="O1857" i="1"/>
  <c r="O1857" i="1" a="1"/>
  <c r="N1857" i="1"/>
  <c r="M1857" i="1"/>
  <c r="O1856" i="1"/>
  <c r="O1856" i="1" a="1"/>
  <c r="N1856" i="1"/>
  <c r="M1856" i="1"/>
  <c r="O1855" i="1"/>
  <c r="O1855" i="1" a="1"/>
  <c r="N1855" i="1"/>
  <c r="M1855" i="1"/>
  <c r="O1854" i="1"/>
  <c r="O1854" i="1" a="1"/>
  <c r="N1854" i="1"/>
  <c r="M1854" i="1"/>
  <c r="O1853" i="1"/>
  <c r="O1853" i="1" a="1"/>
  <c r="N1853" i="1"/>
  <c r="M1853" i="1"/>
  <c r="O1852" i="1"/>
  <c r="O1852" i="1" a="1"/>
  <c r="N1852" i="1"/>
  <c r="M1852" i="1"/>
  <c r="O1851" i="1"/>
  <c r="O1851" i="1" a="1"/>
  <c r="N1851" i="1"/>
  <c r="M1851" i="1"/>
  <c r="O1850" i="1"/>
  <c r="O1850" i="1" a="1"/>
  <c r="N1850" i="1"/>
  <c r="M1850" i="1"/>
  <c r="O1849" i="1"/>
  <c r="O1849" i="1" a="1"/>
  <c r="N1849" i="1"/>
  <c r="M1849" i="1"/>
  <c r="O1848" i="1"/>
  <c r="O1848" i="1" a="1"/>
  <c r="N1848" i="1"/>
  <c r="M1848" i="1"/>
  <c r="O1847" i="1"/>
  <c r="O1847" i="1" a="1"/>
  <c r="N1847" i="1"/>
  <c r="M1847" i="1"/>
  <c r="O1846" i="1"/>
  <c r="O1846" i="1" a="1"/>
  <c r="N1846" i="1"/>
  <c r="M1846" i="1"/>
  <c r="O1845" i="1"/>
  <c r="O1845" i="1" a="1"/>
  <c r="N1845" i="1"/>
  <c r="M1845" i="1"/>
  <c r="O1844" i="1"/>
  <c r="O1844" i="1" a="1"/>
  <c r="N1844" i="1"/>
  <c r="M1844" i="1"/>
  <c r="O1843" i="1"/>
  <c r="O1843" i="1" a="1"/>
  <c r="N1843" i="1"/>
  <c r="M1843" i="1"/>
  <c r="O1842" i="1"/>
  <c r="O1842" i="1" a="1"/>
  <c r="N1842" i="1"/>
  <c r="M1842" i="1"/>
  <c r="O1841" i="1"/>
  <c r="O1841" i="1" a="1"/>
  <c r="N1841" i="1"/>
  <c r="M1841" i="1"/>
  <c r="O1840" i="1"/>
  <c r="O1840" i="1" a="1"/>
  <c r="N1840" i="1"/>
  <c r="M1840" i="1"/>
  <c r="O1839" i="1"/>
  <c r="O1839" i="1" a="1"/>
  <c r="N1839" i="1"/>
  <c r="M1839" i="1"/>
  <c r="O1838" i="1"/>
  <c r="O1838" i="1" a="1"/>
  <c r="N1838" i="1"/>
  <c r="M1838" i="1"/>
  <c r="O1837" i="1"/>
  <c r="O1837" i="1" a="1"/>
  <c r="N1837" i="1"/>
  <c r="M1837" i="1"/>
  <c r="O1836" i="1"/>
  <c r="O1836" i="1" a="1"/>
  <c r="N1836" i="1"/>
  <c r="M1836" i="1"/>
  <c r="O1835" i="1"/>
  <c r="O1835" i="1" a="1"/>
  <c r="N1835" i="1"/>
  <c r="M1835" i="1"/>
  <c r="O1834" i="1"/>
  <c r="O1834" i="1" a="1"/>
  <c r="N1834" i="1"/>
  <c r="M1834" i="1"/>
  <c r="O1833" i="1"/>
  <c r="O1833" i="1" a="1"/>
  <c r="N1833" i="1"/>
  <c r="M1833" i="1"/>
  <c r="O1832" i="1"/>
  <c r="O1832" i="1" a="1"/>
  <c r="N1832" i="1"/>
  <c r="M1832" i="1"/>
  <c r="O1831" i="1"/>
  <c r="O1831" i="1" a="1"/>
  <c r="N1831" i="1"/>
  <c r="M1831" i="1"/>
  <c r="O1830" i="1"/>
  <c r="O1830" i="1" a="1"/>
  <c r="N1830" i="1"/>
  <c r="M1830" i="1"/>
  <c r="O1829" i="1"/>
  <c r="O1829" i="1" a="1"/>
  <c r="N1829" i="1"/>
  <c r="M1829" i="1"/>
  <c r="O1828" i="1"/>
  <c r="O1828" i="1" a="1"/>
  <c r="N1828" i="1"/>
  <c r="M1828" i="1"/>
  <c r="O1827" i="1"/>
  <c r="O1827" i="1" a="1"/>
  <c r="N1827" i="1"/>
  <c r="M1827" i="1"/>
  <c r="O1826" i="1"/>
  <c r="O1826" i="1" a="1"/>
  <c r="N1826" i="1"/>
  <c r="M1826" i="1"/>
  <c r="O1825" i="1"/>
  <c r="O1825" i="1" a="1"/>
  <c r="N1825" i="1"/>
  <c r="M1825" i="1"/>
  <c r="O1824" i="1"/>
  <c r="O1824" i="1" a="1"/>
  <c r="N1824" i="1"/>
  <c r="M1824" i="1"/>
  <c r="O1823" i="1"/>
  <c r="O1823" i="1" a="1"/>
  <c r="N1823" i="1"/>
  <c r="M1823" i="1"/>
  <c r="O1822" i="1"/>
  <c r="O1822" i="1" a="1"/>
  <c r="N1822" i="1"/>
  <c r="M1822" i="1"/>
  <c r="O1821" i="1"/>
  <c r="O1821" i="1" a="1"/>
  <c r="N1821" i="1"/>
  <c r="M1821" i="1"/>
  <c r="O1820" i="1"/>
  <c r="O1820" i="1" a="1"/>
  <c r="N1820" i="1"/>
  <c r="M1820" i="1"/>
  <c r="O1819" i="1"/>
  <c r="O1819" i="1" a="1"/>
  <c r="N1819" i="1"/>
  <c r="M1819" i="1"/>
  <c r="O1818" i="1"/>
  <c r="O1818" i="1" a="1"/>
  <c r="N1818" i="1"/>
  <c r="M1818" i="1"/>
  <c r="O1817" i="1"/>
  <c r="O1817" i="1" a="1"/>
  <c r="N1817" i="1"/>
  <c r="M1817" i="1"/>
  <c r="O1816" i="1"/>
  <c r="O1816" i="1" a="1"/>
  <c r="N1816" i="1"/>
  <c r="M1816" i="1"/>
  <c r="O1815" i="1"/>
  <c r="O1815" i="1" a="1"/>
  <c r="N1815" i="1"/>
  <c r="M1815" i="1"/>
  <c r="O1814" i="1"/>
  <c r="O1814" i="1" a="1"/>
  <c r="N1814" i="1"/>
  <c r="M1814" i="1"/>
  <c r="O1813" i="1"/>
  <c r="O1813" i="1" a="1"/>
  <c r="N1813" i="1"/>
  <c r="M1813" i="1"/>
  <c r="O1812" i="1"/>
  <c r="O1812" i="1" a="1"/>
  <c r="N1812" i="1"/>
  <c r="M1812" i="1"/>
  <c r="O1811" i="1"/>
  <c r="O1811" i="1" a="1"/>
  <c r="N1811" i="1"/>
  <c r="M1811" i="1"/>
  <c r="O1810" i="1"/>
  <c r="O1810" i="1" a="1"/>
  <c r="N1810" i="1"/>
  <c r="M1810" i="1"/>
  <c r="O1809" i="1"/>
  <c r="O1809" i="1" a="1"/>
  <c r="N1809" i="1"/>
  <c r="M1809" i="1"/>
  <c r="O1808" i="1"/>
  <c r="O1808" i="1" a="1"/>
  <c r="N1808" i="1"/>
  <c r="M1808" i="1"/>
  <c r="O1807" i="1"/>
  <c r="O1807" i="1" a="1"/>
  <c r="N1807" i="1"/>
  <c r="M1807" i="1"/>
  <c r="O1806" i="1"/>
  <c r="O1806" i="1" a="1"/>
  <c r="N1806" i="1"/>
  <c r="M1806" i="1"/>
  <c r="O1805" i="1"/>
  <c r="O1805" i="1" a="1"/>
  <c r="N1805" i="1"/>
  <c r="M1805" i="1"/>
  <c r="O1804" i="1"/>
  <c r="O1804" i="1" a="1"/>
  <c r="N1804" i="1"/>
  <c r="M1804" i="1"/>
  <c r="O1803" i="1"/>
  <c r="O1803" i="1" a="1"/>
  <c r="N1803" i="1"/>
  <c r="M1803" i="1"/>
  <c r="O1802" i="1"/>
  <c r="O1802" i="1" a="1"/>
  <c r="N1802" i="1"/>
  <c r="M1802" i="1"/>
  <c r="O1801" i="1"/>
  <c r="O1801" i="1" a="1"/>
  <c r="N1801" i="1"/>
  <c r="M1801" i="1"/>
  <c r="O1800" i="1"/>
  <c r="O1800" i="1" a="1"/>
  <c r="N1800" i="1"/>
  <c r="M1800" i="1"/>
  <c r="O1799" i="1"/>
  <c r="O1799" i="1" a="1"/>
  <c r="N1799" i="1"/>
  <c r="M1799" i="1"/>
  <c r="O1798" i="1"/>
  <c r="O1798" i="1" a="1"/>
  <c r="N1798" i="1"/>
  <c r="M1798" i="1"/>
  <c r="O1797" i="1"/>
  <c r="O1797" i="1" a="1"/>
  <c r="N1797" i="1"/>
  <c r="M1797" i="1"/>
  <c r="O1796" i="1"/>
  <c r="O1796" i="1" a="1"/>
  <c r="N1796" i="1"/>
  <c r="M1796" i="1"/>
  <c r="O1795" i="1"/>
  <c r="O1795" i="1" a="1"/>
  <c r="N1795" i="1"/>
  <c r="M1795" i="1"/>
  <c r="O1794" i="1"/>
  <c r="O1794" i="1" a="1"/>
  <c r="N1794" i="1"/>
  <c r="M1794" i="1"/>
  <c r="O1793" i="1"/>
  <c r="O1793" i="1" a="1"/>
  <c r="N1793" i="1"/>
  <c r="M1793" i="1"/>
  <c r="O1792" i="1"/>
  <c r="O1792" i="1" a="1"/>
  <c r="N1792" i="1"/>
  <c r="M1792" i="1"/>
  <c r="O1791" i="1"/>
  <c r="O1791" i="1" a="1"/>
  <c r="N1791" i="1"/>
  <c r="M1791" i="1"/>
  <c r="O1790" i="1"/>
  <c r="O1790" i="1" a="1"/>
  <c r="N1790" i="1"/>
  <c r="M1790" i="1"/>
  <c r="O1789" i="1"/>
  <c r="O1789" i="1" a="1"/>
  <c r="N1789" i="1"/>
  <c r="M1789" i="1"/>
  <c r="O1788" i="1"/>
  <c r="O1788" i="1" a="1"/>
  <c r="N1788" i="1"/>
  <c r="M1788" i="1"/>
  <c r="O1787" i="1"/>
  <c r="O1787" i="1" a="1"/>
  <c r="N1787" i="1"/>
  <c r="M1787" i="1"/>
  <c r="O1786" i="1"/>
  <c r="O1786" i="1" a="1"/>
  <c r="N1786" i="1"/>
  <c r="M1786" i="1"/>
  <c r="O1785" i="1"/>
  <c r="O1785" i="1" a="1"/>
  <c r="N1785" i="1"/>
  <c r="M1785" i="1"/>
  <c r="O1784" i="1"/>
  <c r="O1784" i="1" a="1"/>
  <c r="N1784" i="1"/>
  <c r="M1784" i="1"/>
  <c r="O1783" i="1"/>
  <c r="O1783" i="1" a="1"/>
  <c r="N1783" i="1"/>
  <c r="M1783" i="1"/>
  <c r="O1782" i="1"/>
  <c r="O1782" i="1" a="1"/>
  <c r="N1782" i="1"/>
  <c r="M1782" i="1"/>
  <c r="O1781" i="1"/>
  <c r="O1781" i="1" a="1"/>
  <c r="N1781" i="1"/>
  <c r="M1781" i="1"/>
  <c r="O1780" i="1"/>
  <c r="O1780" i="1" a="1"/>
  <c r="N1780" i="1"/>
  <c r="M1780" i="1"/>
  <c r="O1779" i="1"/>
  <c r="O1779" i="1" a="1"/>
  <c r="N1779" i="1"/>
  <c r="M1779" i="1"/>
  <c r="O1778" i="1"/>
  <c r="O1778" i="1" a="1"/>
  <c r="N1778" i="1"/>
  <c r="M1778" i="1"/>
  <c r="O1777" i="1"/>
  <c r="O1777" i="1" a="1"/>
  <c r="N1777" i="1"/>
  <c r="M1777" i="1"/>
  <c r="O1776" i="1"/>
  <c r="O1776" i="1" a="1"/>
  <c r="N1776" i="1"/>
  <c r="M1776" i="1"/>
  <c r="O1775" i="1"/>
  <c r="O1775" i="1" a="1"/>
  <c r="N1775" i="1"/>
  <c r="M1775" i="1"/>
  <c r="O1774" i="1"/>
  <c r="O1774" i="1" a="1"/>
  <c r="N1774" i="1"/>
  <c r="M1774" i="1"/>
  <c r="O1773" i="1"/>
  <c r="O1773" i="1" a="1"/>
  <c r="N1773" i="1"/>
  <c r="M1773" i="1"/>
  <c r="O1772" i="1"/>
  <c r="O1772" i="1" a="1"/>
  <c r="N1772" i="1"/>
  <c r="M1772" i="1"/>
  <c r="O1771" i="1"/>
  <c r="O1771" i="1" a="1"/>
  <c r="N1771" i="1"/>
  <c r="M1771" i="1"/>
  <c r="O1770" i="1"/>
  <c r="O1770" i="1" a="1"/>
  <c r="N1770" i="1"/>
  <c r="M1770" i="1"/>
  <c r="O1769" i="1"/>
  <c r="O1769" i="1" a="1"/>
  <c r="N1769" i="1"/>
  <c r="M1769" i="1"/>
  <c r="O1768" i="1"/>
  <c r="O1768" i="1" a="1"/>
  <c r="N1768" i="1"/>
  <c r="M1768" i="1"/>
  <c r="O1767" i="1"/>
  <c r="O1767" i="1" a="1"/>
  <c r="N1767" i="1"/>
  <c r="M1767" i="1"/>
  <c r="O1766" i="1"/>
  <c r="O1766" i="1" a="1"/>
  <c r="N1766" i="1"/>
  <c r="M1766" i="1"/>
  <c r="O1765" i="1"/>
  <c r="O1765" i="1" a="1"/>
  <c r="N1765" i="1"/>
  <c r="M1765" i="1"/>
  <c r="O1764" i="1"/>
  <c r="O1764" i="1" a="1"/>
  <c r="N1764" i="1"/>
  <c r="M1764" i="1"/>
  <c r="O1763" i="1"/>
  <c r="O1763" i="1" a="1"/>
  <c r="N1763" i="1"/>
  <c r="M1763" i="1"/>
  <c r="O1762" i="1"/>
  <c r="O1762" i="1" a="1"/>
  <c r="N1762" i="1"/>
  <c r="M1762" i="1"/>
  <c r="O1761" i="1"/>
  <c r="O1761" i="1" a="1"/>
  <c r="N1761" i="1"/>
  <c r="M1761" i="1"/>
  <c r="O1760" i="1"/>
  <c r="O1760" i="1" a="1"/>
  <c r="N1760" i="1"/>
  <c r="M1760" i="1"/>
  <c r="O1759" i="1"/>
  <c r="O1759" i="1" a="1"/>
  <c r="N1759" i="1"/>
  <c r="M1759" i="1"/>
  <c r="O1758" i="1"/>
  <c r="O1758" i="1" a="1"/>
  <c r="N1758" i="1"/>
  <c r="M1758" i="1"/>
  <c r="O1757" i="1"/>
  <c r="O1757" i="1" a="1"/>
  <c r="N1757" i="1"/>
  <c r="M1757" i="1"/>
  <c r="O1756" i="1"/>
  <c r="O1756" i="1" a="1"/>
  <c r="N1756" i="1"/>
  <c r="M1756" i="1"/>
  <c r="O1755" i="1"/>
  <c r="O1755" i="1" a="1"/>
  <c r="N1755" i="1"/>
  <c r="M1755" i="1"/>
  <c r="O1754" i="1"/>
  <c r="O1754" i="1" a="1"/>
  <c r="N1754" i="1"/>
  <c r="M1754" i="1"/>
  <c r="O1753" i="1"/>
  <c r="O1753" i="1" a="1"/>
  <c r="N1753" i="1"/>
  <c r="M1753" i="1"/>
  <c r="O1752" i="1"/>
  <c r="O1752" i="1" a="1"/>
  <c r="N1752" i="1"/>
  <c r="M1752" i="1"/>
  <c r="O1751" i="1"/>
  <c r="O1751" i="1" a="1"/>
  <c r="N1751" i="1"/>
  <c r="M1751" i="1"/>
  <c r="O1750" i="1"/>
  <c r="O1750" i="1" a="1"/>
  <c r="N1750" i="1"/>
  <c r="M1750" i="1"/>
  <c r="O1749" i="1"/>
  <c r="O1749" i="1" a="1"/>
  <c r="N1749" i="1"/>
  <c r="M1749" i="1"/>
  <c r="O1748" i="1"/>
  <c r="O1748" i="1" a="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c r="O1742" i="1" a="1"/>
  <c r="N1742" i="1"/>
  <c r="M1742" i="1"/>
  <c r="O1741" i="1"/>
  <c r="O1741" i="1" a="1"/>
  <c r="N1741" i="1"/>
  <c r="M1741" i="1"/>
  <c r="O1740" i="1"/>
  <c r="O1740" i="1" a="1"/>
  <c r="N1740" i="1"/>
  <c r="M1740" i="1"/>
  <c r="O1739" i="1"/>
  <c r="O1739" i="1" a="1"/>
  <c r="N1739" i="1"/>
  <c r="M1739" i="1"/>
  <c r="O1738" i="1"/>
  <c r="O1738" i="1" a="1"/>
  <c r="N1738" i="1"/>
  <c r="M1738" i="1"/>
  <c r="O1737" i="1"/>
  <c r="O1737" i="1" a="1"/>
  <c r="N1737" i="1"/>
  <c r="M1737" i="1"/>
  <c r="O1736" i="1"/>
  <c r="O1736" i="1" a="1"/>
  <c r="N1736" i="1"/>
  <c r="M1736" i="1"/>
  <c r="O1735" i="1"/>
  <c r="O1735" i="1" a="1"/>
  <c r="N1735" i="1"/>
  <c r="M1735" i="1"/>
  <c r="O1734" i="1"/>
  <c r="O1734" i="1" a="1"/>
  <c r="N1734" i="1"/>
  <c r="M1734" i="1"/>
  <c r="O1733" i="1"/>
  <c r="O1733" i="1" a="1"/>
  <c r="N1733" i="1"/>
  <c r="M1733" i="1"/>
  <c r="O1732" i="1"/>
  <c r="O1732" i="1" a="1"/>
  <c r="N1732" i="1"/>
  <c r="M1732" i="1"/>
  <c r="O1731" i="1"/>
  <c r="O1731" i="1" a="1"/>
  <c r="N1731" i="1"/>
  <c r="M1731" i="1"/>
  <c r="O1730" i="1"/>
  <c r="O1730" i="1" a="1"/>
  <c r="N1730" i="1"/>
  <c r="M1730" i="1"/>
  <c r="O1729" i="1"/>
  <c r="O1729" i="1" a="1"/>
  <c r="N1729" i="1"/>
  <c r="M1729" i="1"/>
  <c r="O1728" i="1"/>
  <c r="O1728" i="1" a="1"/>
  <c r="N1728" i="1"/>
  <c r="M1728" i="1"/>
  <c r="O1727" i="1"/>
  <c r="O1727" i="1" a="1"/>
  <c r="N1727" i="1"/>
  <c r="M1727" i="1"/>
  <c r="O1726" i="1"/>
  <c r="O1726" i="1" a="1"/>
  <c r="N1726" i="1"/>
  <c r="M1726" i="1"/>
  <c r="O1725" i="1"/>
  <c r="O1725" i="1" a="1"/>
  <c r="N1725" i="1"/>
  <c r="M1725" i="1"/>
  <c r="O1724" i="1"/>
  <c r="O1724" i="1" a="1"/>
  <c r="N1724" i="1"/>
  <c r="M1724" i="1"/>
  <c r="O1723" i="1"/>
  <c r="O1723" i="1" a="1"/>
  <c r="N1723" i="1"/>
  <c r="M1723" i="1"/>
  <c r="O1722" i="1"/>
  <c r="O1722" i="1" a="1"/>
  <c r="N1722" i="1"/>
  <c r="M1722" i="1"/>
  <c r="O1721" i="1"/>
  <c r="O1721" i="1" a="1"/>
  <c r="N1721" i="1"/>
  <c r="M1721" i="1"/>
  <c r="O1720" i="1"/>
  <c r="O1720" i="1" a="1"/>
  <c r="N1720" i="1"/>
  <c r="M1720" i="1"/>
  <c r="O1719" i="1"/>
  <c r="O1719" i="1" a="1"/>
  <c r="N1719" i="1"/>
  <c r="M1719" i="1"/>
  <c r="O1718" i="1"/>
  <c r="O1718" i="1" a="1"/>
  <c r="N1718" i="1"/>
  <c r="M1718" i="1"/>
  <c r="O1717" i="1"/>
  <c r="O1717" i="1" a="1"/>
  <c r="N1717" i="1"/>
  <c r="M1717" i="1"/>
  <c r="O1716" i="1"/>
  <c r="O1716" i="1" a="1"/>
  <c r="N1716" i="1"/>
  <c r="M1716" i="1"/>
  <c r="O1715" i="1"/>
  <c r="O1715" i="1" a="1"/>
  <c r="N1715" i="1"/>
  <c r="M1715" i="1"/>
  <c r="O1714" i="1"/>
  <c r="O1714" i="1" a="1"/>
  <c r="N1714" i="1"/>
  <c r="M1714" i="1"/>
  <c r="O1713" i="1"/>
  <c r="O1713" i="1" a="1"/>
  <c r="N1713" i="1"/>
  <c r="M1713" i="1"/>
  <c r="O1712" i="1"/>
  <c r="O1712" i="1" a="1"/>
  <c r="N1712" i="1"/>
  <c r="M1712" i="1"/>
  <c r="O1711" i="1"/>
  <c r="O1711" i="1" a="1"/>
  <c r="N1711" i="1"/>
  <c r="M1711" i="1"/>
  <c r="O1710" i="1"/>
  <c r="O1710" i="1" a="1"/>
  <c r="N1710" i="1"/>
  <c r="M1710" i="1"/>
  <c r="O1709" i="1"/>
  <c r="O1709" i="1" a="1"/>
  <c r="N1709" i="1"/>
  <c r="M1709" i="1"/>
  <c r="O1708" i="1"/>
  <c r="O1708" i="1" a="1"/>
  <c r="N1708" i="1"/>
  <c r="M1708" i="1"/>
  <c r="O1707" i="1"/>
  <c r="O1707" i="1" a="1"/>
  <c r="N1707" i="1"/>
  <c r="M1707" i="1"/>
  <c r="O1706" i="1"/>
  <c r="O1706" i="1" a="1"/>
  <c r="N1706" i="1"/>
  <c r="M1706" i="1"/>
  <c r="O1705" i="1"/>
  <c r="O1705" i="1" a="1"/>
  <c r="N1705" i="1"/>
  <c r="M1705" i="1"/>
  <c r="O1704" i="1"/>
  <c r="O1704" i="1" a="1"/>
  <c r="N1704" i="1"/>
  <c r="M1704" i="1"/>
  <c r="O1703" i="1"/>
  <c r="O1703" i="1" a="1"/>
  <c r="N1703" i="1"/>
  <c r="M1703" i="1"/>
  <c r="O1702" i="1"/>
  <c r="O1702" i="1" a="1"/>
  <c r="N1702" i="1"/>
  <c r="M1702" i="1"/>
  <c r="O1701" i="1"/>
  <c r="O1701" i="1" a="1"/>
  <c r="N1701" i="1"/>
  <c r="M1701" i="1"/>
  <c r="O1700" i="1"/>
  <c r="O1700" i="1" a="1"/>
  <c r="N1700" i="1"/>
  <c r="M1700" i="1"/>
  <c r="O1699" i="1"/>
  <c r="O1699" i="1" a="1"/>
  <c r="N1699" i="1"/>
  <c r="M1699" i="1"/>
  <c r="O1698" i="1"/>
  <c r="O1698" i="1" a="1"/>
  <c r="N1698" i="1"/>
  <c r="M1698" i="1"/>
  <c r="O1697" i="1"/>
  <c r="O1697" i="1" a="1"/>
  <c r="N1697" i="1"/>
  <c r="M1697" i="1"/>
  <c r="O1696" i="1"/>
  <c r="O1696" i="1" a="1"/>
  <c r="N1696" i="1"/>
  <c r="M1696" i="1"/>
  <c r="O1695" i="1"/>
  <c r="O1695" i="1" a="1"/>
  <c r="N1695" i="1"/>
  <c r="M1695" i="1"/>
  <c r="O1694" i="1"/>
  <c r="O1694" i="1" a="1"/>
  <c r="N1694" i="1"/>
  <c r="M1694" i="1"/>
  <c r="O1693" i="1"/>
  <c r="O1693" i="1" a="1"/>
  <c r="N1693" i="1"/>
  <c r="M1693" i="1"/>
  <c r="O1692" i="1"/>
  <c r="O1692" i="1" a="1"/>
  <c r="N1692" i="1"/>
  <c r="M1692" i="1"/>
  <c r="O1691" i="1"/>
  <c r="O1691" i="1" a="1"/>
  <c r="N1691" i="1"/>
  <c r="M1691" i="1"/>
  <c r="O1690" i="1"/>
  <c r="O1690" i="1" a="1"/>
  <c r="N1690" i="1"/>
  <c r="M1690" i="1"/>
  <c r="O1689" i="1"/>
  <c r="O1689" i="1" a="1"/>
  <c r="N1689" i="1"/>
  <c r="M1689" i="1"/>
  <c r="O1688" i="1"/>
  <c r="O1688" i="1" a="1"/>
  <c r="N1688" i="1"/>
  <c r="M1688" i="1"/>
  <c r="O1687" i="1"/>
  <c r="O1687" i="1" a="1"/>
  <c r="N1687" i="1"/>
  <c r="M1687" i="1"/>
  <c r="O1686" i="1"/>
  <c r="O1686" i="1" a="1"/>
  <c r="N1686" i="1"/>
  <c r="M1686" i="1"/>
  <c r="O1685" i="1"/>
  <c r="O1685" i="1" a="1"/>
  <c r="N1685" i="1"/>
  <c r="M1685" i="1"/>
  <c r="O1684" i="1"/>
  <c r="O1684" i="1" a="1"/>
  <c r="N1684" i="1"/>
  <c r="M1684" i="1"/>
  <c r="O1683" i="1"/>
  <c r="O1683" i="1" a="1"/>
  <c r="N1683" i="1"/>
  <c r="M1683" i="1"/>
  <c r="O1682" i="1"/>
  <c r="O1682" i="1" a="1"/>
  <c r="N1682" i="1"/>
  <c r="M1682" i="1"/>
  <c r="O1681" i="1"/>
  <c r="O1681" i="1" a="1"/>
  <c r="N1681" i="1"/>
  <c r="M1681" i="1"/>
  <c r="O1680" i="1"/>
  <c r="O1680" i="1" a="1"/>
  <c r="N1680" i="1"/>
  <c r="M1680" i="1"/>
  <c r="O1679" i="1"/>
  <c r="O1679" i="1" a="1"/>
  <c r="N1679" i="1"/>
  <c r="M1679" i="1"/>
  <c r="O1678" i="1"/>
  <c r="O1678" i="1" a="1"/>
  <c r="N1678" i="1"/>
  <c r="M1678" i="1"/>
  <c r="O1677" i="1"/>
  <c r="O1677" i="1" a="1"/>
  <c r="N1677" i="1"/>
  <c r="M1677" i="1"/>
  <c r="O1676" i="1"/>
  <c r="O1676" i="1" a="1"/>
  <c r="N1676" i="1"/>
  <c r="M1676" i="1"/>
  <c r="O1675" i="1"/>
  <c r="O1675" i="1" a="1"/>
  <c r="N1675" i="1"/>
  <c r="M1675" i="1"/>
  <c r="O1674" i="1"/>
  <c r="O1674" i="1" a="1"/>
  <c r="N1674" i="1"/>
  <c r="M1674" i="1"/>
  <c r="O1673" i="1"/>
  <c r="O1673" i="1" a="1"/>
  <c r="N1673" i="1"/>
  <c r="M1673" i="1"/>
  <c r="O1672" i="1"/>
  <c r="O1672" i="1" a="1"/>
  <c r="N1672" i="1"/>
  <c r="M1672" i="1"/>
  <c r="O1671" i="1"/>
  <c r="O1671" i="1" a="1"/>
  <c r="N1671" i="1"/>
  <c r="M1671" i="1"/>
  <c r="O1670" i="1"/>
  <c r="O1670" i="1" a="1"/>
  <c r="N1670" i="1"/>
  <c r="M1670" i="1"/>
  <c r="O1669" i="1"/>
  <c r="O1669" i="1" a="1"/>
  <c r="N1669" i="1"/>
  <c r="M1669" i="1"/>
  <c r="O1668" i="1"/>
  <c r="O1668" i="1" a="1"/>
  <c r="N1668" i="1"/>
  <c r="M1668" i="1"/>
  <c r="O1667" i="1"/>
  <c r="O1667" i="1" a="1"/>
  <c r="N1667" i="1"/>
  <c r="M1667" i="1"/>
  <c r="O1666" i="1"/>
  <c r="O1666" i="1" a="1"/>
  <c r="N1666" i="1"/>
  <c r="M1666" i="1"/>
  <c r="O1665" i="1"/>
  <c r="O1665" i="1" a="1"/>
  <c r="N1665" i="1"/>
  <c r="M1665" i="1"/>
  <c r="O1664" i="1"/>
  <c r="O1664" i="1" a="1"/>
  <c r="N1664" i="1"/>
  <c r="M1664" i="1"/>
  <c r="O1663" i="1"/>
  <c r="O1663" i="1" a="1"/>
  <c r="N1663" i="1"/>
  <c r="M1663" i="1"/>
  <c r="O1662" i="1"/>
  <c r="O1662" i="1" a="1"/>
  <c r="N1662" i="1"/>
  <c r="M1662" i="1"/>
  <c r="O1661" i="1"/>
  <c r="O1661" i="1" a="1"/>
  <c r="N1661" i="1"/>
  <c r="M1661" i="1"/>
  <c r="O1660" i="1"/>
  <c r="O1660" i="1" a="1"/>
  <c r="N1660" i="1"/>
  <c r="M1660" i="1"/>
  <c r="O1659" i="1"/>
  <c r="O1659" i="1" a="1"/>
  <c r="N1659" i="1"/>
  <c r="M1659" i="1"/>
  <c r="O1658" i="1"/>
  <c r="O1658" i="1" a="1"/>
  <c r="N1658" i="1"/>
  <c r="M1658" i="1"/>
  <c r="O1657" i="1"/>
  <c r="O1657" i="1" a="1"/>
  <c r="N1657" i="1"/>
  <c r="M1657" i="1"/>
  <c r="O1656" i="1"/>
  <c r="O1656" i="1" a="1"/>
  <c r="N1656" i="1"/>
  <c r="M1656" i="1"/>
  <c r="O1655" i="1"/>
  <c r="O1655" i="1" a="1"/>
  <c r="N1655" i="1"/>
  <c r="M1655" i="1"/>
  <c r="O1654" i="1"/>
  <c r="O1654" i="1" a="1"/>
  <c r="N1654" i="1"/>
  <c r="M1654" i="1"/>
  <c r="O1653" i="1"/>
  <c r="O1653" i="1" a="1"/>
  <c r="N1653" i="1"/>
  <c r="M1653" i="1"/>
  <c r="O1652" i="1"/>
  <c r="O1652" i="1" a="1"/>
  <c r="N1652" i="1"/>
  <c r="M1652" i="1"/>
  <c r="O1651" i="1"/>
  <c r="O1651" i="1" a="1"/>
  <c r="N1651" i="1"/>
  <c r="M1651" i="1"/>
  <c r="O1650" i="1"/>
  <c r="O1650" i="1" a="1"/>
  <c r="N1650" i="1"/>
  <c r="M1650" i="1"/>
  <c r="O1649" i="1"/>
  <c r="O1649" i="1" a="1"/>
  <c r="N1649" i="1"/>
  <c r="M1649" i="1"/>
  <c r="O1648" i="1"/>
  <c r="O1648" i="1" a="1"/>
  <c r="N1648" i="1"/>
  <c r="M1648" i="1"/>
  <c r="O1647" i="1"/>
  <c r="O1647" i="1" a="1"/>
  <c r="N1647" i="1"/>
  <c r="M1647" i="1"/>
  <c r="O1646" i="1"/>
  <c r="O1646" i="1" a="1"/>
  <c r="N1646" i="1"/>
  <c r="M1646" i="1"/>
  <c r="O1645" i="1"/>
  <c r="O1645" i="1" a="1"/>
  <c r="N1645" i="1"/>
  <c r="M1645" i="1"/>
  <c r="O1644" i="1"/>
  <c r="O1644" i="1" a="1"/>
  <c r="N1644" i="1"/>
  <c r="M1644" i="1"/>
  <c r="O1643" i="1"/>
  <c r="O1643" i="1" a="1"/>
  <c r="N1643" i="1"/>
  <c r="M1643" i="1"/>
  <c r="O1642" i="1"/>
  <c r="O1642" i="1" a="1"/>
  <c r="N1642" i="1"/>
  <c r="M1642" i="1"/>
  <c r="O1641" i="1"/>
  <c r="O1641" i="1" a="1"/>
  <c r="N1641" i="1"/>
  <c r="M1641" i="1"/>
  <c r="O1640" i="1"/>
  <c r="O1640" i="1" a="1"/>
  <c r="N1640" i="1"/>
  <c r="M1640" i="1"/>
  <c r="O1639" i="1"/>
  <c r="O1639" i="1" a="1"/>
  <c r="N1639" i="1"/>
  <c r="M1639" i="1"/>
  <c r="O1638" i="1"/>
  <c r="O1638" i="1" a="1"/>
  <c r="N1638" i="1"/>
  <c r="M1638" i="1"/>
  <c r="O1637" i="1"/>
  <c r="O1637" i="1" a="1"/>
  <c r="N1637" i="1"/>
  <c r="M1637" i="1"/>
  <c r="O1636" i="1"/>
  <c r="O1636" i="1" a="1"/>
  <c r="N1636" i="1"/>
  <c r="M1636" i="1"/>
  <c r="O1635" i="1"/>
  <c r="O1635" i="1" a="1"/>
  <c r="N1635" i="1"/>
  <c r="M1635" i="1"/>
  <c r="O1634" i="1"/>
  <c r="O1634" i="1" a="1"/>
  <c r="N1634" i="1"/>
  <c r="M1634" i="1"/>
  <c r="O1633" i="1"/>
  <c r="O1633" i="1" a="1"/>
  <c r="N1633" i="1"/>
  <c r="M1633" i="1"/>
  <c r="O1632" i="1"/>
  <c r="O1632" i="1" a="1"/>
  <c r="N1632" i="1"/>
  <c r="M1632" i="1"/>
  <c r="O1631" i="1"/>
  <c r="O1631" i="1" a="1"/>
  <c r="N1631" i="1"/>
  <c r="M1631" i="1"/>
  <c r="O1630" i="1"/>
  <c r="O1630" i="1" a="1"/>
  <c r="N1630" i="1"/>
  <c r="M1630" i="1"/>
  <c r="O1629" i="1"/>
  <c r="O1629" i="1" a="1"/>
  <c r="N1629" i="1"/>
  <c r="M1629" i="1"/>
  <c r="O1628" i="1"/>
  <c r="O1628" i="1" a="1"/>
  <c r="N1628" i="1"/>
  <c r="M1628" i="1"/>
  <c r="O1627" i="1"/>
  <c r="O1627" i="1" a="1"/>
  <c r="N1627" i="1"/>
  <c r="M1627" i="1"/>
  <c r="O1626" i="1"/>
  <c r="O1626" i="1" a="1"/>
  <c r="N1626" i="1"/>
  <c r="M1626" i="1"/>
  <c r="O1625" i="1"/>
  <c r="O1625" i="1" a="1"/>
  <c r="N1625" i="1"/>
  <c r="M1625" i="1"/>
  <c r="O1624" i="1"/>
  <c r="O1624" i="1" a="1"/>
  <c r="N1624" i="1"/>
  <c r="M1624" i="1"/>
  <c r="O1623" i="1"/>
  <c r="O1623" i="1" a="1"/>
  <c r="N1623" i="1"/>
  <c r="M1623" i="1"/>
  <c r="O1622" i="1"/>
  <c r="O1622" i="1" a="1"/>
  <c r="N1622" i="1"/>
  <c r="M1622" i="1"/>
  <c r="O1621" i="1"/>
  <c r="O1621" i="1" a="1"/>
  <c r="N1621" i="1"/>
  <c r="M1621" i="1"/>
  <c r="O1620" i="1"/>
  <c r="O1620" i="1" a="1"/>
  <c r="N1620" i="1"/>
  <c r="M1620" i="1"/>
  <c r="O1619" i="1"/>
  <c r="O1619" i="1" a="1"/>
  <c r="N1619" i="1"/>
  <c r="M1619" i="1"/>
  <c r="O1618" i="1"/>
  <c r="O1618" i="1" a="1"/>
  <c r="N1618" i="1"/>
  <c r="M1618" i="1"/>
  <c r="O1617" i="1"/>
  <c r="O1617" i="1" a="1"/>
  <c r="N1617" i="1"/>
  <c r="M1617" i="1"/>
  <c r="O1616" i="1"/>
  <c r="O1616" i="1" a="1"/>
  <c r="N1616" i="1"/>
  <c r="M1616" i="1"/>
  <c r="O1615" i="1"/>
  <c r="O1615" i="1" a="1"/>
  <c r="N1615" i="1"/>
  <c r="M1615" i="1"/>
  <c r="O1614" i="1"/>
  <c r="O1614" i="1" a="1"/>
  <c r="N1614" i="1"/>
  <c r="M1614" i="1"/>
  <c r="O1613" i="1"/>
  <c r="O1613" i="1" a="1"/>
  <c r="N1613" i="1"/>
  <c r="M1613" i="1"/>
  <c r="O1612" i="1"/>
  <c r="O1612" i="1" a="1"/>
  <c r="N1612" i="1"/>
  <c r="M1612" i="1"/>
  <c r="O1611" i="1"/>
  <c r="O1611" i="1" a="1"/>
  <c r="N1611" i="1"/>
  <c r="M1611" i="1"/>
  <c r="O1610" i="1"/>
  <c r="O1610" i="1" a="1"/>
  <c r="N1610" i="1"/>
  <c r="M1610" i="1"/>
  <c r="O1609" i="1"/>
  <c r="O1609" i="1" a="1"/>
  <c r="N1609" i="1"/>
  <c r="M1609" i="1"/>
  <c r="O1608" i="1"/>
  <c r="O1608" i="1" a="1"/>
  <c r="N1608" i="1"/>
  <c r="M1608" i="1"/>
  <c r="O1607" i="1"/>
  <c r="O1607" i="1" a="1"/>
  <c r="N1607" i="1"/>
  <c r="M1607" i="1"/>
  <c r="O1606" i="1"/>
  <c r="O1606" i="1" a="1"/>
  <c r="N1606" i="1"/>
  <c r="M1606" i="1"/>
  <c r="O1605" i="1"/>
  <c r="O1605" i="1" a="1"/>
  <c r="N1605" i="1"/>
  <c r="M1605" i="1"/>
  <c r="O1604" i="1"/>
  <c r="O1604" i="1" a="1"/>
  <c r="N1604" i="1"/>
  <c r="M1604" i="1"/>
  <c r="O1603" i="1"/>
  <c r="O1603" i="1" a="1"/>
  <c r="N1603" i="1"/>
  <c r="M1603" i="1"/>
  <c r="O1602" i="1"/>
  <c r="O1602" i="1" a="1"/>
  <c r="N1602" i="1"/>
  <c r="M1602" i="1"/>
  <c r="O1601" i="1"/>
  <c r="O1601" i="1" a="1"/>
  <c r="N1601" i="1"/>
  <c r="M1601" i="1"/>
  <c r="O1600" i="1"/>
  <c r="O1600" i="1" a="1"/>
  <c r="N1600" i="1"/>
  <c r="M1600" i="1"/>
  <c r="O1599" i="1"/>
  <c r="O1599" i="1" a="1"/>
  <c r="N1599" i="1"/>
  <c r="M1599" i="1"/>
  <c r="O1598" i="1"/>
  <c r="O1598" i="1" a="1"/>
  <c r="N1598" i="1"/>
  <c r="M1598" i="1"/>
  <c r="O1597" i="1"/>
  <c r="O1597" i="1" a="1"/>
  <c r="N1597" i="1"/>
  <c r="M1597" i="1"/>
  <c r="O1596" i="1"/>
  <c r="O1596" i="1" a="1"/>
  <c r="N1596" i="1"/>
  <c r="M1596" i="1"/>
  <c r="O1595" i="1"/>
  <c r="O1595" i="1" a="1"/>
  <c r="N1595" i="1"/>
  <c r="M1595" i="1"/>
  <c r="O1594" i="1"/>
  <c r="O1594" i="1" a="1"/>
  <c r="N1594" i="1"/>
  <c r="M1594" i="1"/>
  <c r="O1593" i="1"/>
  <c r="O1593" i="1" a="1"/>
  <c r="N1593" i="1"/>
  <c r="M1593" i="1"/>
  <c r="O1592" i="1"/>
  <c r="O1592" i="1" a="1"/>
  <c r="N1592" i="1"/>
  <c r="M1592" i="1"/>
  <c r="O1591" i="1"/>
  <c r="O1591" i="1" a="1"/>
  <c r="N1591" i="1"/>
  <c r="M1591" i="1"/>
  <c r="O1590" i="1"/>
  <c r="O1590" i="1" a="1"/>
  <c r="N1590" i="1"/>
  <c r="M1590" i="1"/>
  <c r="O1589" i="1"/>
  <c r="O1589" i="1" a="1"/>
  <c r="N1589" i="1"/>
  <c r="M1589" i="1"/>
  <c r="O1588" i="1"/>
  <c r="O1588" i="1" a="1"/>
  <c r="N1588" i="1"/>
  <c r="M1588" i="1"/>
  <c r="O1587" i="1"/>
  <c r="O1587" i="1" a="1"/>
  <c r="N1587" i="1"/>
  <c r="M1587" i="1"/>
  <c r="O1586" i="1"/>
  <c r="O1586" i="1" a="1"/>
  <c r="N1586" i="1"/>
  <c r="M1586" i="1"/>
  <c r="O1585" i="1"/>
  <c r="O1585" i="1" a="1"/>
  <c r="N1585" i="1"/>
  <c r="M1585" i="1"/>
  <c r="O1584" i="1"/>
  <c r="O1584" i="1" a="1"/>
  <c r="N1584" i="1"/>
  <c r="M1584" i="1"/>
  <c r="O1583" i="1"/>
  <c r="O1583" i="1" a="1"/>
  <c r="N1583" i="1"/>
  <c r="M1583" i="1"/>
  <c r="O1582" i="1"/>
  <c r="O1582" i="1" a="1"/>
  <c r="N1582" i="1"/>
  <c r="M1582" i="1"/>
  <c r="O1581" i="1"/>
  <c r="O1581" i="1" a="1"/>
  <c r="N1581" i="1"/>
  <c r="M1581" i="1"/>
  <c r="O1580" i="1"/>
  <c r="O1580" i="1" a="1"/>
  <c r="N1580" i="1"/>
  <c r="M1580" i="1"/>
  <c r="O1579" i="1"/>
  <c r="O1579" i="1" a="1"/>
  <c r="N1579" i="1"/>
  <c r="M1579" i="1"/>
  <c r="O1578" i="1"/>
  <c r="O1578" i="1" a="1"/>
  <c r="N1578" i="1"/>
  <c r="M1578" i="1"/>
  <c r="O1577" i="1"/>
  <c r="O1577" i="1" a="1"/>
  <c r="N1577" i="1"/>
  <c r="M1577" i="1"/>
  <c r="O1576" i="1"/>
  <c r="O1576" i="1" a="1"/>
  <c r="N1576" i="1"/>
  <c r="M1576" i="1"/>
  <c r="O1575" i="1"/>
  <c r="O1575" i="1" a="1"/>
  <c r="N1575" i="1"/>
  <c r="M1575" i="1"/>
  <c r="O1574" i="1"/>
  <c r="O1574" i="1" a="1"/>
  <c r="N1574" i="1"/>
  <c r="M1574" i="1"/>
  <c r="O1573" i="1"/>
  <c r="O1573" i="1" a="1"/>
  <c r="N1573" i="1"/>
  <c r="M1573" i="1"/>
  <c r="O1572" i="1"/>
  <c r="O1572" i="1" a="1"/>
  <c r="N1572" i="1"/>
  <c r="M1572" i="1"/>
  <c r="O1571" i="1"/>
  <c r="O1571" i="1" a="1"/>
  <c r="N1571" i="1"/>
  <c r="M1571" i="1"/>
  <c r="O1570" i="1"/>
  <c r="O1570" i="1" a="1"/>
  <c r="N1570" i="1"/>
  <c r="M1570" i="1"/>
  <c r="O1569" i="1"/>
  <c r="O1569" i="1" a="1"/>
  <c r="N1569" i="1"/>
  <c r="M1569" i="1"/>
  <c r="O1568" i="1"/>
  <c r="O1568" i="1" a="1"/>
  <c r="N1568" i="1"/>
  <c r="M1568" i="1"/>
  <c r="O1567" i="1"/>
  <c r="O1567" i="1" a="1"/>
  <c r="N1567" i="1"/>
  <c r="M1567" i="1"/>
  <c r="O1566" i="1"/>
  <c r="O1566" i="1" a="1"/>
  <c r="N1566" i="1"/>
  <c r="M1566" i="1"/>
  <c r="O1565" i="1"/>
  <c r="O1565" i="1" a="1"/>
  <c r="N1565" i="1"/>
  <c r="M1565" i="1"/>
  <c r="O1564" i="1"/>
  <c r="O1564" i="1" a="1"/>
  <c r="N1564" i="1"/>
  <c r="M1564" i="1"/>
  <c r="O1563" i="1"/>
  <c r="O1563" i="1" a="1"/>
  <c r="N1563" i="1"/>
  <c r="M1563" i="1"/>
  <c r="O1562" i="1"/>
  <c r="O1562" i="1" a="1"/>
  <c r="N1562" i="1"/>
  <c r="M1562" i="1"/>
  <c r="O1561" i="1"/>
  <c r="O1561" i="1" a="1"/>
  <c r="N1561" i="1"/>
  <c r="M1561" i="1"/>
  <c r="O1560" i="1"/>
  <c r="O1560" i="1" a="1"/>
  <c r="N1560" i="1"/>
  <c r="M1560" i="1"/>
  <c r="O1559" i="1"/>
  <c r="O1559" i="1" a="1"/>
  <c r="N1559" i="1"/>
  <c r="M1559" i="1"/>
  <c r="O1558" i="1"/>
  <c r="O1558" i="1" a="1"/>
  <c r="N1558" i="1"/>
  <c r="M1558" i="1"/>
  <c r="O1557" i="1"/>
  <c r="O1557" i="1" a="1"/>
  <c r="N1557" i="1"/>
  <c r="M1557" i="1"/>
  <c r="O1556" i="1"/>
  <c r="O1556" i="1" a="1"/>
  <c r="N1556" i="1"/>
  <c r="M1556" i="1"/>
  <c r="O1555" i="1"/>
  <c r="O1555" i="1" a="1"/>
  <c r="N1555" i="1"/>
  <c r="M1555" i="1"/>
  <c r="O1554" i="1"/>
  <c r="O1554" i="1" a="1"/>
  <c r="N1554" i="1"/>
  <c r="M1554" i="1"/>
  <c r="O1553" i="1"/>
  <c r="O1553" i="1" a="1"/>
  <c r="N1553" i="1"/>
  <c r="M1553" i="1"/>
  <c r="O1552" i="1"/>
  <c r="O1552" i="1" a="1"/>
  <c r="N1552" i="1"/>
  <c r="M1552" i="1"/>
  <c r="O1551" i="1"/>
  <c r="O1551" i="1" a="1"/>
  <c r="N1551" i="1"/>
  <c r="M1551" i="1"/>
  <c r="O1550" i="1"/>
  <c r="O1550" i="1" a="1"/>
  <c r="N1550" i="1"/>
  <c r="M1550" i="1"/>
  <c r="O1549" i="1"/>
  <c r="O1549" i="1" a="1"/>
  <c r="N1549" i="1"/>
  <c r="M1549" i="1"/>
  <c r="O1548" i="1"/>
  <c r="O1548" i="1" a="1"/>
  <c r="N1548" i="1"/>
  <c r="M1548" i="1"/>
  <c r="O1547" i="1"/>
  <c r="O1547" i="1" a="1"/>
  <c r="N1547" i="1"/>
  <c r="M1547" i="1"/>
  <c r="O1546" i="1"/>
  <c r="O1546" i="1" a="1"/>
  <c r="N1546" i="1"/>
  <c r="M1546" i="1"/>
  <c r="O1545" i="1"/>
  <c r="O1545" i="1" a="1"/>
  <c r="N1545" i="1"/>
  <c r="M1545" i="1"/>
  <c r="O1544" i="1"/>
  <c r="O1544" i="1" a="1"/>
  <c r="N1544" i="1"/>
  <c r="M1544" i="1"/>
  <c r="O1543" i="1"/>
  <c r="O1543" i="1" a="1"/>
  <c r="N1543" i="1"/>
  <c r="M1543" i="1"/>
  <c r="O1542" i="1"/>
  <c r="O1542" i="1" a="1"/>
  <c r="N1542" i="1"/>
  <c r="M1542" i="1"/>
  <c r="O1541" i="1"/>
  <c r="O1541" i="1" a="1"/>
  <c r="N1541" i="1"/>
  <c r="M1541" i="1"/>
  <c r="O1540" i="1"/>
  <c r="O1540" i="1" a="1"/>
  <c r="N1540" i="1"/>
  <c r="M1540" i="1"/>
  <c r="O1539" i="1"/>
  <c r="O1539" i="1" a="1"/>
  <c r="N1539" i="1"/>
  <c r="M1539" i="1"/>
  <c r="O1538" i="1"/>
  <c r="O1538" i="1" a="1"/>
  <c r="N1538" i="1"/>
  <c r="M1538" i="1"/>
  <c r="O1537" i="1"/>
  <c r="O1537" i="1" a="1"/>
  <c r="N1537" i="1"/>
  <c r="M1537" i="1"/>
  <c r="O1536" i="1"/>
  <c r="O1536" i="1" a="1"/>
  <c r="N1536" i="1"/>
  <c r="M1536" i="1"/>
  <c r="O1535" i="1"/>
  <c r="O1535" i="1" a="1"/>
  <c r="N1535" i="1"/>
  <c r="M1535" i="1"/>
  <c r="O1534" i="1"/>
  <c r="O1534" i="1" a="1"/>
  <c r="N1534" i="1"/>
  <c r="M1534" i="1"/>
  <c r="O1533" i="1"/>
  <c r="O1533" i="1" a="1"/>
  <c r="N1533" i="1"/>
  <c r="M1533" i="1"/>
  <c r="O1532" i="1"/>
  <c r="O1532" i="1" a="1"/>
  <c r="N1532" i="1"/>
  <c r="M1532" i="1"/>
  <c r="O1531" i="1"/>
  <c r="O1531" i="1" a="1"/>
  <c r="N1531" i="1"/>
  <c r="M1531" i="1"/>
  <c r="O1530" i="1"/>
  <c r="O1530" i="1" a="1"/>
  <c r="N1530" i="1"/>
  <c r="M1530" i="1"/>
  <c r="O1529" i="1"/>
  <c r="O1529" i="1" a="1"/>
  <c r="N1529" i="1"/>
  <c r="M1529" i="1"/>
  <c r="O1528" i="1"/>
  <c r="O1528" i="1" a="1"/>
  <c r="N1528" i="1"/>
  <c r="M1528" i="1"/>
  <c r="O1527" i="1"/>
  <c r="O1527" i="1" a="1"/>
  <c r="N1527" i="1"/>
  <c r="M1527" i="1"/>
  <c r="O1526" i="1"/>
  <c r="O1526" i="1" a="1"/>
  <c r="N1526" i="1"/>
  <c r="M1526" i="1"/>
  <c r="O1525" i="1"/>
  <c r="O1525" i="1" a="1"/>
  <c r="N1525" i="1"/>
  <c r="M1525" i="1"/>
  <c r="O1524" i="1"/>
  <c r="O1524" i="1" a="1"/>
  <c r="N1524" i="1"/>
  <c r="M1524" i="1"/>
  <c r="O1523" i="1"/>
  <c r="O1523" i="1" a="1"/>
  <c r="N1523" i="1"/>
  <c r="M1523" i="1"/>
  <c r="O1522" i="1"/>
  <c r="O1522" i="1" a="1"/>
  <c r="N1522" i="1"/>
  <c r="M1522" i="1"/>
  <c r="O1521" i="1"/>
  <c r="O1521" i="1" a="1"/>
  <c r="N1521" i="1"/>
  <c r="M1521" i="1"/>
  <c r="O1520" i="1"/>
  <c r="O1520" i="1" a="1"/>
  <c r="N1520" i="1"/>
  <c r="M1520" i="1"/>
  <c r="O1519" i="1"/>
  <c r="O1519" i="1" a="1"/>
  <c r="N1519" i="1"/>
  <c r="M1519" i="1"/>
  <c r="O1518" i="1"/>
  <c r="O1518" i="1" a="1"/>
  <c r="N1518" i="1"/>
  <c r="M1518" i="1"/>
  <c r="O1517" i="1"/>
  <c r="O1517" i="1" a="1"/>
  <c r="N1517" i="1"/>
  <c r="M1517" i="1"/>
  <c r="O1516" i="1"/>
  <c r="O1516" i="1" a="1"/>
  <c r="N1516" i="1"/>
  <c r="M1516" i="1"/>
  <c r="O1515" i="1"/>
  <c r="O1515" i="1" a="1"/>
  <c r="N1515" i="1"/>
  <c r="M1515" i="1"/>
  <c r="O1514" i="1"/>
  <c r="O1514" i="1" a="1"/>
  <c r="N1514" i="1"/>
  <c r="M1514" i="1"/>
  <c r="O1513" i="1"/>
  <c r="O1513" i="1" a="1"/>
  <c r="N1513" i="1"/>
  <c r="M1513" i="1"/>
  <c r="O1512" i="1"/>
  <c r="O1512" i="1" a="1"/>
  <c r="N1512" i="1"/>
  <c r="M1512" i="1"/>
  <c r="O1511" i="1"/>
  <c r="O1511" i="1" a="1"/>
  <c r="N1511" i="1"/>
  <c r="M1511" i="1"/>
  <c r="O1510" i="1"/>
  <c r="O1510" i="1" a="1"/>
  <c r="N1510" i="1"/>
  <c r="M1510" i="1"/>
  <c r="O1509" i="1"/>
  <c r="O1509" i="1" a="1"/>
  <c r="N1509" i="1"/>
  <c r="M1509" i="1"/>
  <c r="O1508" i="1"/>
  <c r="O1508" i="1" a="1"/>
  <c r="N1508" i="1"/>
  <c r="M1508" i="1"/>
  <c r="O1507" i="1"/>
  <c r="O1507" i="1" a="1"/>
  <c r="N1507" i="1"/>
  <c r="M1507" i="1"/>
  <c r="O1506" i="1"/>
  <c r="O1506" i="1" a="1"/>
  <c r="N1506" i="1"/>
  <c r="M1506" i="1"/>
  <c r="O1505" i="1"/>
  <c r="O1505" i="1" a="1"/>
  <c r="N1505" i="1"/>
  <c r="M1505" i="1"/>
  <c r="O1504" i="1"/>
  <c r="O1504" i="1" a="1"/>
  <c r="N1504" i="1"/>
  <c r="M1504" i="1"/>
  <c r="O1503" i="1"/>
  <c r="O1503" i="1" a="1"/>
  <c r="N1503" i="1"/>
  <c r="M1503" i="1"/>
  <c r="O1502" i="1"/>
  <c r="O1502" i="1" a="1"/>
  <c r="N1502" i="1"/>
  <c r="M1502" i="1"/>
  <c r="O1501" i="1"/>
  <c r="O1501" i="1" a="1"/>
  <c r="N1501" i="1"/>
  <c r="M1501" i="1"/>
  <c r="O1500" i="1"/>
  <c r="O1500" i="1" a="1"/>
  <c r="N1500" i="1"/>
  <c r="M1500" i="1"/>
  <c r="O1499" i="1"/>
  <c r="O1499" i="1" a="1"/>
  <c r="N1499" i="1"/>
  <c r="M1499" i="1"/>
  <c r="O1498" i="1"/>
  <c r="O1498" i="1" a="1"/>
  <c r="N1498" i="1"/>
  <c r="M1498" i="1"/>
  <c r="O1497" i="1"/>
  <c r="O1497" i="1" a="1"/>
  <c r="N1497" i="1"/>
  <c r="M1497" i="1"/>
  <c r="O1496" i="1"/>
  <c r="O1496" i="1" a="1"/>
  <c r="N1496" i="1"/>
  <c r="M1496" i="1"/>
  <c r="O1495" i="1"/>
  <c r="O1495" i="1" a="1"/>
  <c r="N1495" i="1"/>
  <c r="M1495" i="1"/>
  <c r="O1494" i="1"/>
  <c r="O1494" i="1" a="1"/>
  <c r="N1494" i="1"/>
  <c r="M1494" i="1"/>
  <c r="O1493" i="1"/>
  <c r="O1493" i="1" a="1"/>
  <c r="N1493" i="1"/>
  <c r="M1493" i="1"/>
  <c r="O1492" i="1"/>
  <c r="O1492" i="1" a="1"/>
  <c r="N1492" i="1"/>
  <c r="M1492" i="1"/>
  <c r="O1491" i="1"/>
  <c r="O1491" i="1" a="1"/>
  <c r="N1491" i="1"/>
  <c r="M1491" i="1"/>
  <c r="O1490" i="1"/>
  <c r="O1490" i="1" a="1"/>
  <c r="N1490" i="1"/>
  <c r="M1490" i="1"/>
  <c r="O1489" i="1"/>
  <c r="O1489" i="1" a="1"/>
  <c r="N1489" i="1"/>
  <c r="M1489" i="1"/>
  <c r="O1488" i="1"/>
  <c r="O1488" i="1" a="1"/>
  <c r="N1488" i="1"/>
  <c r="M1488" i="1"/>
  <c r="O1487" i="1"/>
  <c r="O1487" i="1" a="1"/>
  <c r="N1487" i="1"/>
  <c r="M1487" i="1"/>
  <c r="O1486" i="1"/>
  <c r="O1486" i="1" a="1"/>
  <c r="N1486" i="1"/>
  <c r="M1486" i="1"/>
  <c r="O1485" i="1"/>
  <c r="O1485" i="1" a="1"/>
  <c r="N1485" i="1"/>
  <c r="M1485" i="1"/>
  <c r="O1484" i="1"/>
  <c r="O1484" i="1" a="1"/>
  <c r="N1484" i="1"/>
  <c r="M1484" i="1"/>
  <c r="O1483" i="1"/>
  <c r="O1483" i="1" a="1"/>
  <c r="N1483" i="1"/>
  <c r="M1483" i="1"/>
  <c r="O1482" i="1"/>
  <c r="O1482" i="1" a="1"/>
  <c r="N1482" i="1"/>
  <c r="M1482" i="1"/>
  <c r="O1481" i="1"/>
  <c r="O1481" i="1" a="1"/>
  <c r="N1481" i="1"/>
  <c r="M1481" i="1"/>
  <c r="O1480" i="1"/>
  <c r="O1480" i="1" a="1"/>
  <c r="N1480" i="1"/>
  <c r="M1480" i="1"/>
  <c r="O1479" i="1"/>
  <c r="O1479" i="1" a="1"/>
  <c r="N1479" i="1"/>
  <c r="M1479" i="1"/>
  <c r="O1478" i="1"/>
  <c r="O1478" i="1" a="1"/>
  <c r="N1478" i="1"/>
  <c r="M1478" i="1"/>
  <c r="O1477" i="1"/>
  <c r="O1477" i="1" a="1"/>
  <c r="N1477" i="1"/>
  <c r="M1477" i="1"/>
  <c r="O1476" i="1"/>
  <c r="O1476" i="1" a="1"/>
  <c r="N1476" i="1"/>
  <c r="M1476" i="1"/>
  <c r="O1475" i="1"/>
  <c r="O1475" i="1" a="1"/>
  <c r="N1475" i="1"/>
  <c r="M1475" i="1"/>
  <c r="O1474" i="1"/>
  <c r="O1474" i="1" a="1"/>
  <c r="N1474" i="1"/>
  <c r="M1474" i="1"/>
  <c r="O1473" i="1"/>
  <c r="O1473" i="1" a="1"/>
  <c r="N1473" i="1"/>
  <c r="M1473" i="1"/>
  <c r="O1472" i="1"/>
  <c r="O1472" i="1" a="1"/>
  <c r="N1472" i="1"/>
  <c r="M1472" i="1"/>
  <c r="O1471" i="1"/>
  <c r="O1471" i="1" a="1"/>
  <c r="N1471" i="1"/>
  <c r="M1471" i="1"/>
  <c r="O1470" i="1"/>
  <c r="O1470" i="1" a="1"/>
  <c r="N1470" i="1"/>
  <c r="M1470" i="1"/>
  <c r="O1469" i="1"/>
  <c r="O1469" i="1" a="1"/>
  <c r="N1469" i="1"/>
  <c r="M1469" i="1"/>
  <c r="O1468" i="1"/>
  <c r="O1468" i="1" a="1"/>
  <c r="N1468" i="1"/>
  <c r="M1468" i="1"/>
  <c r="O1467" i="1"/>
  <c r="O1467" i="1" a="1"/>
  <c r="N1467" i="1"/>
  <c r="M1467" i="1"/>
  <c r="O1466" i="1"/>
  <c r="O1466" i="1" a="1"/>
  <c r="N1466" i="1"/>
  <c r="M1466" i="1"/>
  <c r="O1465" i="1"/>
  <c r="O1465" i="1" a="1"/>
  <c r="N1465" i="1"/>
  <c r="M1465" i="1"/>
  <c r="O1464" i="1"/>
  <c r="O1464" i="1" a="1"/>
  <c r="N1464" i="1"/>
  <c r="M1464" i="1"/>
  <c r="O1463" i="1"/>
  <c r="O1463" i="1" a="1"/>
  <c r="N1463" i="1"/>
  <c r="M1463" i="1"/>
  <c r="O1462" i="1"/>
  <c r="O1462" i="1" a="1"/>
  <c r="N1462" i="1"/>
  <c r="M1462" i="1"/>
  <c r="O1461" i="1"/>
  <c r="O1461" i="1" a="1"/>
  <c r="N1461" i="1"/>
  <c r="M1461" i="1"/>
  <c r="O1460" i="1"/>
  <c r="O1460" i="1" a="1"/>
  <c r="N1460" i="1"/>
  <c r="M1460" i="1"/>
  <c r="O1459" i="1"/>
  <c r="O1459" i="1" a="1"/>
  <c r="N1459" i="1"/>
  <c r="M1459" i="1"/>
  <c r="O1458" i="1"/>
  <c r="O1458" i="1" a="1"/>
  <c r="N1458" i="1"/>
  <c r="M1458" i="1"/>
  <c r="O1457" i="1"/>
  <c r="O1457" i="1" a="1"/>
  <c r="N1457" i="1"/>
  <c r="M1457" i="1"/>
  <c r="O1456" i="1"/>
  <c r="O1456" i="1" a="1"/>
  <c r="N1456" i="1"/>
  <c r="M1456" i="1"/>
  <c r="O1455" i="1"/>
  <c r="O1455" i="1" a="1"/>
  <c r="N1455" i="1"/>
  <c r="M1455" i="1"/>
  <c r="O1454" i="1"/>
  <c r="O1454" i="1" a="1"/>
  <c r="N1454" i="1"/>
  <c r="M1454" i="1"/>
  <c r="O1453" i="1"/>
  <c r="O1453" i="1" a="1"/>
  <c r="N1453" i="1"/>
  <c r="M1453" i="1"/>
  <c r="O1452" i="1"/>
  <c r="O1452" i="1" a="1"/>
  <c r="N1452" i="1"/>
  <c r="M1452" i="1"/>
  <c r="O1451" i="1"/>
  <c r="O1451" i="1" a="1"/>
  <c r="N1451" i="1"/>
  <c r="M1451" i="1"/>
  <c r="O1450" i="1"/>
  <c r="O1450" i="1" a="1"/>
  <c r="N1450" i="1"/>
  <c r="M1450" i="1"/>
  <c r="O1449" i="1"/>
  <c r="O1449" i="1" a="1"/>
  <c r="N1449" i="1"/>
  <c r="M1449" i="1"/>
  <c r="O1448" i="1"/>
  <c r="O1448" i="1" a="1"/>
  <c r="N1448" i="1"/>
  <c r="M1448" i="1"/>
  <c r="O1447" i="1"/>
  <c r="O1447" i="1" a="1"/>
  <c r="N1447" i="1"/>
  <c r="M1447" i="1"/>
  <c r="O1446" i="1"/>
  <c r="O1446" i="1" a="1"/>
  <c r="N1446" i="1"/>
  <c r="M1446" i="1"/>
  <c r="O1445" i="1"/>
  <c r="O1445" i="1" a="1"/>
  <c r="N1445" i="1"/>
  <c r="M1445" i="1"/>
  <c r="O1444" i="1"/>
  <c r="O1444" i="1" a="1"/>
  <c r="N1444" i="1"/>
  <c r="M1444" i="1"/>
  <c r="O1443" i="1"/>
  <c r="O1443" i="1" a="1"/>
  <c r="N1443" i="1"/>
  <c r="M1443" i="1"/>
  <c r="O1442" i="1"/>
  <c r="O1442" i="1" a="1"/>
  <c r="N1442" i="1"/>
  <c r="M1442" i="1"/>
  <c r="O1441" i="1"/>
  <c r="O1441" i="1" a="1"/>
  <c r="N1441" i="1"/>
  <c r="M1441" i="1"/>
  <c r="O1440" i="1"/>
  <c r="O1440" i="1" a="1"/>
  <c r="N1440" i="1"/>
  <c r="M1440" i="1"/>
  <c r="O1439" i="1"/>
  <c r="O1439" i="1" a="1"/>
  <c r="N1439" i="1"/>
  <c r="M1439" i="1"/>
  <c r="O1438" i="1"/>
  <c r="O1438" i="1" a="1"/>
  <c r="N1438" i="1"/>
  <c r="M1438" i="1"/>
  <c r="O1437" i="1"/>
  <c r="O1437" i="1" a="1"/>
  <c r="N1437" i="1"/>
  <c r="M1437" i="1"/>
  <c r="O1436" i="1"/>
  <c r="O1436" i="1" a="1"/>
  <c r="N1436" i="1"/>
  <c r="M1436" i="1"/>
  <c r="O1435" i="1"/>
  <c r="O1435" i="1" a="1"/>
  <c r="N1435" i="1"/>
  <c r="M1435" i="1"/>
  <c r="O1434" i="1"/>
  <c r="O1434" i="1" a="1"/>
  <c r="N1434" i="1"/>
  <c r="M1434" i="1"/>
  <c r="O1433" i="1"/>
  <c r="O1433" i="1" a="1"/>
  <c r="N1433" i="1"/>
  <c r="M1433" i="1"/>
  <c r="O1432" i="1"/>
  <c r="O1432" i="1" a="1"/>
  <c r="N1432" i="1"/>
  <c r="M1432" i="1"/>
  <c r="O1431" i="1"/>
  <c r="O1431" i="1" a="1"/>
  <c r="N1431" i="1"/>
  <c r="M1431" i="1"/>
  <c r="O1430" i="1"/>
  <c r="O1430" i="1" a="1"/>
  <c r="N1430" i="1"/>
  <c r="M1430" i="1"/>
  <c r="O1429" i="1"/>
  <c r="O1429" i="1" a="1"/>
  <c r="N1429" i="1"/>
  <c r="M1429" i="1"/>
  <c r="O1428" i="1"/>
  <c r="O1428" i="1" a="1"/>
  <c r="N1428" i="1"/>
  <c r="M1428" i="1"/>
  <c r="O1427" i="1"/>
  <c r="O1427" i="1" a="1"/>
  <c r="N1427" i="1"/>
  <c r="M1427" i="1"/>
  <c r="O1426" i="1"/>
  <c r="O1426" i="1" a="1"/>
  <c r="N1426" i="1"/>
  <c r="M1426" i="1"/>
  <c r="O1425" i="1"/>
  <c r="O1425" i="1" a="1"/>
  <c r="N1425" i="1"/>
  <c r="M1425" i="1"/>
  <c r="O1424" i="1"/>
  <c r="O1424" i="1" a="1"/>
  <c r="N1424" i="1"/>
  <c r="M1424" i="1"/>
  <c r="O1423" i="1"/>
  <c r="O1423" i="1" a="1"/>
  <c r="N1423" i="1"/>
  <c r="M1423" i="1"/>
  <c r="O1422" i="1"/>
  <c r="O1422" i="1" a="1"/>
  <c r="N1422" i="1"/>
  <c r="M1422" i="1"/>
  <c r="O1421" i="1"/>
  <c r="O1421" i="1" a="1"/>
  <c r="N1421" i="1"/>
  <c r="M1421" i="1"/>
  <c r="O1420" i="1"/>
  <c r="O1420" i="1" a="1"/>
  <c r="N1420" i="1"/>
  <c r="M1420" i="1"/>
  <c r="O1419" i="1"/>
  <c r="O1419" i="1" a="1"/>
  <c r="N1419" i="1"/>
  <c r="M1419" i="1"/>
  <c r="O1418" i="1"/>
  <c r="O1418" i="1" a="1"/>
  <c r="N1418" i="1"/>
  <c r="M1418" i="1"/>
  <c r="O1417" i="1"/>
  <c r="O1417" i="1" a="1"/>
  <c r="N1417" i="1"/>
  <c r="M1417" i="1"/>
  <c r="O1416" i="1"/>
  <c r="O1416" i="1" a="1"/>
  <c r="N1416" i="1"/>
  <c r="M1416" i="1"/>
  <c r="O1415" i="1"/>
  <c r="O1415" i="1" a="1"/>
  <c r="N1415" i="1"/>
  <c r="M1415" i="1"/>
  <c r="O1414" i="1"/>
  <c r="O1414" i="1" a="1"/>
  <c r="N1414" i="1"/>
  <c r="M1414" i="1"/>
  <c r="O1413" i="1"/>
  <c r="O1413" i="1" a="1"/>
  <c r="N1413" i="1"/>
  <c r="M1413" i="1"/>
  <c r="O1412" i="1"/>
  <c r="O1412" i="1" a="1"/>
  <c r="N1412" i="1"/>
  <c r="M1412" i="1"/>
  <c r="O1411" i="1"/>
  <c r="O1411" i="1" a="1"/>
  <c r="N1411" i="1"/>
  <c r="M1411" i="1"/>
  <c r="O1410" i="1"/>
  <c r="O1410" i="1" a="1"/>
  <c r="N1410" i="1"/>
  <c r="M1410" i="1"/>
  <c r="O1409" i="1"/>
  <c r="O1409" i="1" a="1"/>
  <c r="N1409" i="1"/>
  <c r="M1409" i="1"/>
  <c r="O1408" i="1"/>
  <c r="O1408" i="1" a="1"/>
  <c r="N1408" i="1"/>
  <c r="M1408" i="1"/>
  <c r="O1407" i="1"/>
  <c r="O1407" i="1" a="1"/>
  <c r="N1407" i="1"/>
  <c r="M1407" i="1"/>
  <c r="O1406" i="1"/>
  <c r="O1406" i="1" a="1"/>
  <c r="N1406" i="1"/>
  <c r="M1406" i="1"/>
  <c r="O1405" i="1"/>
  <c r="O1405" i="1" a="1"/>
  <c r="N1405" i="1"/>
  <c r="M1405" i="1"/>
  <c r="O1404" i="1"/>
  <c r="O1404" i="1" a="1"/>
  <c r="N1404" i="1"/>
  <c r="M1404" i="1"/>
  <c r="O1403" i="1"/>
  <c r="O1403" i="1" a="1"/>
  <c r="N1403" i="1"/>
  <c r="M1403" i="1"/>
  <c r="O1402" i="1"/>
  <c r="O1402" i="1" a="1"/>
  <c r="N1402" i="1"/>
  <c r="M1402" i="1"/>
  <c r="O1401" i="1"/>
  <c r="O1401" i="1" a="1"/>
  <c r="N1401" i="1"/>
  <c r="M1401" i="1"/>
  <c r="O1400" i="1"/>
  <c r="O1400" i="1" a="1"/>
  <c r="N1400" i="1"/>
  <c r="M1400" i="1"/>
  <c r="O1399" i="1"/>
  <c r="O1399" i="1" a="1"/>
  <c r="N1399" i="1"/>
  <c r="M1399" i="1"/>
  <c r="O1398" i="1"/>
  <c r="O1398" i="1" a="1"/>
  <c r="N1398" i="1"/>
  <c r="M1398" i="1"/>
  <c r="O1397" i="1"/>
  <c r="O1397" i="1" a="1"/>
  <c r="N1397" i="1"/>
  <c r="M1397" i="1"/>
  <c r="O1396" i="1"/>
  <c r="O1396" i="1" a="1"/>
  <c r="N1396" i="1"/>
  <c r="M1396" i="1"/>
  <c r="O1395" i="1"/>
  <c r="O1395" i="1" a="1"/>
  <c r="N1395" i="1"/>
  <c r="M1395" i="1"/>
  <c r="O1394" i="1"/>
  <c r="O1394" i="1" a="1"/>
  <c r="N1394" i="1"/>
  <c r="M1394" i="1"/>
  <c r="O1393" i="1"/>
  <c r="O1393" i="1" a="1"/>
  <c r="N1393" i="1"/>
  <c r="M1393" i="1"/>
  <c r="O1392" i="1"/>
  <c r="O1392" i="1" a="1"/>
  <c r="N1392" i="1"/>
  <c r="M1392" i="1"/>
  <c r="O1391" i="1"/>
  <c r="O1391" i="1" a="1"/>
  <c r="N1391" i="1"/>
  <c r="M1391" i="1"/>
  <c r="O1390" i="1"/>
  <c r="O1390" i="1" a="1"/>
  <c r="N1390" i="1"/>
  <c r="M1390" i="1"/>
  <c r="O1389" i="1"/>
  <c r="O1389" i="1" a="1"/>
  <c r="N1389" i="1"/>
  <c r="M1389" i="1"/>
  <c r="O1388" i="1"/>
  <c r="O1388" i="1" a="1"/>
  <c r="N1388" i="1"/>
  <c r="M1388" i="1"/>
  <c r="O1387" i="1"/>
  <c r="O1387" i="1" a="1"/>
  <c r="N1387" i="1"/>
  <c r="M1387" i="1"/>
  <c r="O1386" i="1"/>
  <c r="O1386" i="1" a="1"/>
  <c r="N1386" i="1"/>
  <c r="M1386" i="1"/>
  <c r="O1385" i="1"/>
  <c r="O1385" i="1" a="1"/>
  <c r="N1385" i="1"/>
  <c r="M1385" i="1"/>
  <c r="O1384" i="1"/>
  <c r="O1384" i="1" a="1"/>
  <c r="N1384" i="1"/>
  <c r="M1384" i="1"/>
  <c r="O1383" i="1"/>
  <c r="O1383" i="1" a="1"/>
  <c r="N1383" i="1"/>
  <c r="M1383" i="1"/>
  <c r="O1382" i="1"/>
  <c r="O1382" i="1" a="1"/>
  <c r="N1382" i="1"/>
  <c r="M1382" i="1"/>
  <c r="O1381" i="1"/>
  <c r="O1381" i="1" a="1"/>
  <c r="N1381" i="1"/>
  <c r="M1381" i="1"/>
  <c r="O1380" i="1"/>
  <c r="O1380" i="1" a="1"/>
  <c r="N1380" i="1"/>
  <c r="M1380" i="1"/>
  <c r="O1379" i="1"/>
  <c r="O1379" i="1" a="1"/>
  <c r="N1379" i="1"/>
  <c r="M1379" i="1"/>
  <c r="O1378" i="1"/>
  <c r="O1378" i="1" a="1"/>
  <c r="N1378" i="1"/>
  <c r="M1378" i="1"/>
  <c r="O1377" i="1"/>
  <c r="O1377" i="1" a="1"/>
  <c r="N1377" i="1"/>
  <c r="M1377" i="1"/>
  <c r="O1376" i="1"/>
  <c r="O1376" i="1" a="1"/>
  <c r="N1376" i="1"/>
  <c r="M1376" i="1"/>
  <c r="O1375" i="1"/>
  <c r="O1375" i="1" a="1"/>
  <c r="N1375" i="1"/>
  <c r="M1375" i="1"/>
  <c r="O1374" i="1"/>
  <c r="O1374" i="1" a="1"/>
  <c r="N1374" i="1"/>
  <c r="M1374" i="1"/>
  <c r="O1373" i="1"/>
  <c r="O1373" i="1" a="1"/>
  <c r="N1373" i="1"/>
  <c r="M1373" i="1"/>
  <c r="O1372" i="1"/>
  <c r="O1372" i="1" a="1"/>
  <c r="N1372" i="1"/>
  <c r="M1372" i="1"/>
  <c r="O1371" i="1"/>
  <c r="O1371" i="1" a="1"/>
  <c r="N1371" i="1"/>
  <c r="M1371" i="1"/>
  <c r="O1370" i="1"/>
  <c r="O1370" i="1" a="1"/>
  <c r="N1370" i="1"/>
  <c r="M1370" i="1"/>
  <c r="O1369" i="1"/>
  <c r="O1369" i="1" a="1"/>
  <c r="N1369" i="1"/>
  <c r="M1369" i="1"/>
  <c r="O1368" i="1"/>
  <c r="O1368" i="1" a="1"/>
  <c r="N1368" i="1"/>
  <c r="M1368" i="1"/>
  <c r="O1367" i="1"/>
  <c r="O1367" i="1" a="1"/>
  <c r="N1367" i="1"/>
  <c r="M1367" i="1"/>
  <c r="O1366" i="1"/>
  <c r="O1366" i="1" a="1"/>
  <c r="N1366" i="1"/>
  <c r="M1366" i="1"/>
  <c r="O1365" i="1"/>
  <c r="O1365" i="1" a="1"/>
  <c r="N1365" i="1"/>
  <c r="M1365" i="1"/>
  <c r="O1364" i="1"/>
  <c r="O1364" i="1" a="1"/>
  <c r="N1364" i="1"/>
  <c r="M1364" i="1"/>
  <c r="O1363" i="1"/>
  <c r="O1363" i="1" a="1"/>
  <c r="N1363" i="1"/>
  <c r="M1363" i="1"/>
  <c r="O1362" i="1"/>
  <c r="O1362" i="1" a="1"/>
  <c r="N1362" i="1"/>
  <c r="M1362" i="1"/>
  <c r="O1361" i="1"/>
  <c r="O1361" i="1" a="1"/>
  <c r="N1361" i="1"/>
  <c r="M1361" i="1"/>
  <c r="O1360" i="1"/>
  <c r="O1360" i="1" a="1"/>
  <c r="N1360" i="1"/>
  <c r="M1360" i="1"/>
  <c r="O1359" i="1"/>
  <c r="O1359" i="1" a="1"/>
  <c r="N1359" i="1"/>
  <c r="M1359" i="1"/>
  <c r="O1358" i="1"/>
  <c r="O1358" i="1" a="1"/>
  <c r="N1358" i="1"/>
  <c r="M1358" i="1"/>
  <c r="O1357" i="1"/>
  <c r="O1357" i="1" a="1"/>
  <c r="N1357" i="1"/>
  <c r="M1357" i="1"/>
  <c r="O1356" i="1"/>
  <c r="O1356" i="1" a="1"/>
  <c r="N1356" i="1"/>
  <c r="M1356" i="1"/>
  <c r="O1355" i="1"/>
  <c r="O1355" i="1" a="1"/>
  <c r="N1355" i="1"/>
  <c r="M1355" i="1"/>
  <c r="O1354" i="1"/>
  <c r="O1354" i="1" a="1"/>
  <c r="N1354" i="1"/>
  <c r="M1354" i="1"/>
  <c r="O1353" i="1"/>
  <c r="O1353" i="1" a="1"/>
  <c r="N1353" i="1"/>
  <c r="M1353" i="1"/>
  <c r="O1352" i="1"/>
  <c r="O1352" i="1" a="1"/>
  <c r="N1352" i="1"/>
  <c r="M1352" i="1"/>
  <c r="O1351" i="1"/>
  <c r="O1351" i="1" a="1"/>
  <c r="N1351" i="1"/>
  <c r="M1351" i="1"/>
  <c r="O1350" i="1"/>
  <c r="O1350" i="1" a="1"/>
  <c r="N1350" i="1"/>
  <c r="M1350" i="1"/>
  <c r="O1349" i="1"/>
  <c r="O1349" i="1" a="1"/>
  <c r="N1349" i="1"/>
  <c r="M1349" i="1"/>
  <c r="O1348" i="1"/>
  <c r="O1348" i="1" a="1"/>
  <c r="N1348" i="1"/>
  <c r="M1348" i="1"/>
  <c r="O1347" i="1"/>
  <c r="O1347" i="1" a="1"/>
  <c r="N1347" i="1"/>
  <c r="M1347" i="1"/>
  <c r="O1346" i="1"/>
  <c r="O1346" i="1" a="1"/>
  <c r="N1346" i="1"/>
  <c r="M1346" i="1"/>
  <c r="O1345" i="1"/>
  <c r="O1345" i="1" a="1"/>
  <c r="N1345" i="1"/>
  <c r="M1345" i="1"/>
  <c r="O1344" i="1"/>
  <c r="O1344" i="1" a="1"/>
  <c r="N1344" i="1"/>
  <c r="M1344" i="1"/>
  <c r="O1343" i="1"/>
  <c r="O1343" i="1" a="1"/>
  <c r="N1343" i="1"/>
  <c r="M1343" i="1"/>
  <c r="O1342" i="1"/>
  <c r="O1342" i="1" a="1"/>
  <c r="N1342" i="1"/>
  <c r="M1342" i="1"/>
  <c r="O1341" i="1"/>
  <c r="O1341" i="1" a="1"/>
  <c r="N1341" i="1"/>
  <c r="M1341" i="1"/>
  <c r="O1340" i="1"/>
  <c r="O1340" i="1" a="1"/>
  <c r="N1340" i="1"/>
  <c r="M1340" i="1"/>
  <c r="O1339" i="1"/>
  <c r="O1339" i="1" a="1"/>
  <c r="N1339" i="1"/>
  <c r="M1339" i="1"/>
  <c r="O1338" i="1"/>
  <c r="O1338" i="1" a="1"/>
  <c r="N1338" i="1"/>
  <c r="M1338" i="1"/>
  <c r="O1337" i="1"/>
  <c r="O1337" i="1" a="1"/>
  <c r="N1337" i="1"/>
  <c r="M1337" i="1"/>
  <c r="O1336" i="1"/>
  <c r="O1336" i="1" a="1"/>
  <c r="N1336" i="1"/>
  <c r="M1336" i="1"/>
  <c r="O1335" i="1"/>
  <c r="O1335" i="1" a="1"/>
  <c r="N1335" i="1"/>
  <c r="M1335" i="1"/>
  <c r="O1334" i="1"/>
  <c r="O1334" i="1" a="1"/>
  <c r="N1334" i="1"/>
  <c r="M1334" i="1"/>
  <c r="O1333" i="1"/>
  <c r="O1333" i="1" a="1"/>
  <c r="N1333" i="1"/>
  <c r="M1333" i="1"/>
  <c r="O1332" i="1"/>
  <c r="O1332" i="1" a="1"/>
  <c r="N1332" i="1"/>
  <c r="M1332" i="1"/>
  <c r="O1331" i="1"/>
  <c r="O1331" i="1" a="1"/>
  <c r="N1331" i="1"/>
  <c r="M1331" i="1"/>
  <c r="O1330" i="1"/>
  <c r="O1330" i="1" a="1"/>
  <c r="N1330" i="1"/>
  <c r="M1330" i="1"/>
  <c r="O1329" i="1"/>
  <c r="O1329" i="1" a="1"/>
  <c r="N1329" i="1"/>
  <c r="M1329" i="1"/>
  <c r="O1328" i="1"/>
  <c r="O1328" i="1" a="1"/>
  <c r="N1328" i="1"/>
  <c r="M1328" i="1"/>
  <c r="O1327" i="1"/>
  <c r="O1327" i="1" a="1"/>
  <c r="N1327" i="1"/>
  <c r="M1327" i="1"/>
  <c r="O1326" i="1"/>
  <c r="O1326" i="1" a="1"/>
  <c r="N1326" i="1"/>
  <c r="M1326" i="1"/>
  <c r="O1325" i="1"/>
  <c r="O1325" i="1" a="1"/>
  <c r="N1325" i="1"/>
  <c r="M1325" i="1"/>
  <c r="O1324" i="1"/>
  <c r="O1324" i="1" a="1"/>
  <c r="N1324" i="1"/>
  <c r="M1324" i="1"/>
  <c r="O1323" i="1"/>
  <c r="O1323" i="1" a="1"/>
  <c r="N1323" i="1"/>
  <c r="M1323" i="1"/>
  <c r="O1322" i="1"/>
  <c r="O1322" i="1" a="1"/>
  <c r="N1322" i="1"/>
  <c r="M1322" i="1"/>
  <c r="O1321" i="1"/>
  <c r="O1321" i="1" a="1"/>
  <c r="N1321" i="1"/>
  <c r="M1321" i="1"/>
  <c r="O1320" i="1"/>
  <c r="O1320" i="1" a="1"/>
  <c r="N1320" i="1"/>
  <c r="M1320" i="1"/>
  <c r="O1319" i="1"/>
  <c r="O1319" i="1" a="1"/>
  <c r="N1319" i="1"/>
  <c r="M1319" i="1"/>
  <c r="O1318" i="1"/>
  <c r="O1318" i="1" a="1"/>
  <c r="N1318" i="1"/>
  <c r="M1318" i="1"/>
  <c r="O1317" i="1"/>
  <c r="O1317" i="1" a="1"/>
  <c r="N1317" i="1"/>
  <c r="M1317" i="1"/>
  <c r="O1316" i="1"/>
  <c r="O1316" i="1" a="1"/>
  <c r="N1316" i="1"/>
  <c r="M1316" i="1"/>
  <c r="O1315" i="1"/>
  <c r="O1315" i="1" a="1"/>
  <c r="N1315" i="1"/>
  <c r="M1315" i="1"/>
  <c r="O1314" i="1"/>
  <c r="O1314" i="1" a="1"/>
  <c r="N1314" i="1"/>
  <c r="M1314" i="1"/>
  <c r="O1313" i="1"/>
  <c r="O1313" i="1" a="1"/>
  <c r="N1313" i="1"/>
  <c r="M1313" i="1"/>
  <c r="O1312" i="1"/>
  <c r="O1312" i="1" a="1"/>
  <c r="N1312" i="1"/>
  <c r="M1312" i="1"/>
  <c r="O1311" i="1"/>
  <c r="O1311" i="1" a="1"/>
  <c r="N1311" i="1"/>
  <c r="M1311" i="1"/>
  <c r="O1310" i="1"/>
  <c r="O1310" i="1" a="1"/>
  <c r="N1310" i="1"/>
  <c r="M1310" i="1"/>
  <c r="O1309" i="1"/>
  <c r="O1309" i="1" a="1"/>
  <c r="N1309" i="1"/>
  <c r="M1309" i="1"/>
  <c r="O1308" i="1"/>
  <c r="O1308" i="1" a="1"/>
  <c r="N1308" i="1"/>
  <c r="M1308" i="1"/>
  <c r="O1307" i="1"/>
  <c r="O1307" i="1" a="1"/>
  <c r="N1307" i="1"/>
  <c r="M1307" i="1"/>
  <c r="O1306" i="1"/>
  <c r="O1306" i="1" a="1"/>
  <c r="N1306" i="1"/>
  <c r="M1306" i="1"/>
  <c r="O1305" i="1"/>
  <c r="O1305" i="1" a="1"/>
  <c r="N1305" i="1"/>
  <c r="M1305" i="1"/>
  <c r="O1304" i="1"/>
  <c r="O1304" i="1" a="1"/>
  <c r="N1304" i="1"/>
  <c r="M1304" i="1"/>
  <c r="O1303" i="1"/>
  <c r="O1303" i="1" a="1"/>
  <c r="N1303" i="1"/>
  <c r="M1303" i="1"/>
  <c r="O1302" i="1"/>
  <c r="O1302" i="1" a="1"/>
  <c r="N1302" i="1"/>
  <c r="M1302" i="1"/>
  <c r="O1301" i="1"/>
  <c r="O1301" i="1" a="1"/>
  <c r="N1301" i="1"/>
  <c r="M1301" i="1"/>
  <c r="O1300" i="1"/>
  <c r="O1300" i="1" a="1"/>
  <c r="N1300" i="1"/>
  <c r="M1300" i="1"/>
  <c r="O1299" i="1"/>
  <c r="O1299" i="1" a="1"/>
  <c r="N1299" i="1"/>
  <c r="M1299" i="1"/>
  <c r="O1298" i="1"/>
  <c r="O1298" i="1" a="1"/>
  <c r="N1298" i="1"/>
  <c r="M1298" i="1"/>
  <c r="O1297" i="1"/>
  <c r="O1297" i="1" a="1"/>
  <c r="N1297" i="1"/>
  <c r="M1297" i="1"/>
  <c r="O1296" i="1"/>
  <c r="O1296" i="1" a="1"/>
  <c r="N1296" i="1"/>
  <c r="M1296" i="1"/>
  <c r="O1295" i="1"/>
  <c r="O1295" i="1" a="1"/>
  <c r="N1295" i="1"/>
  <c r="M1295" i="1"/>
  <c r="O1294" i="1"/>
  <c r="O1294" i="1" a="1"/>
  <c r="N1294" i="1"/>
  <c r="M1294" i="1"/>
  <c r="O1293" i="1"/>
  <c r="O1293" i="1" a="1"/>
  <c r="N1293" i="1"/>
  <c r="M1293" i="1"/>
  <c r="O1292" i="1"/>
  <c r="O1292" i="1" a="1"/>
  <c r="N1292" i="1"/>
  <c r="M1292" i="1"/>
  <c r="O1291" i="1"/>
  <c r="O1291" i="1" a="1"/>
  <c r="N1291" i="1"/>
  <c r="M1291" i="1"/>
  <c r="O1290" i="1"/>
  <c r="O1290" i="1" a="1"/>
  <c r="N1290" i="1"/>
  <c r="M1290" i="1"/>
  <c r="O1289" i="1"/>
  <c r="O1289" i="1" a="1"/>
  <c r="N1289" i="1"/>
  <c r="M1289" i="1"/>
  <c r="O1288" i="1"/>
  <c r="O1288" i="1" a="1"/>
  <c r="N1288" i="1"/>
  <c r="M1288" i="1"/>
  <c r="O1287" i="1"/>
  <c r="O1287" i="1" a="1"/>
  <c r="N1287" i="1"/>
  <c r="M1287" i="1"/>
  <c r="O1286" i="1"/>
  <c r="O1286" i="1" a="1"/>
  <c r="N1286" i="1"/>
  <c r="M1286" i="1"/>
  <c r="O1285" i="1"/>
  <c r="O1285" i="1" a="1"/>
  <c r="N1285" i="1"/>
  <c r="M1285" i="1"/>
  <c r="O1284" i="1"/>
  <c r="O1284" i="1" a="1"/>
  <c r="N1284" i="1"/>
  <c r="M1284" i="1"/>
  <c r="O1283" i="1"/>
  <c r="O1283" i="1" a="1"/>
  <c r="N1283" i="1"/>
  <c r="M1283" i="1"/>
  <c r="O1282" i="1"/>
  <c r="O1282" i="1" a="1"/>
  <c r="N1282" i="1"/>
  <c r="M1282" i="1"/>
  <c r="O1281" i="1"/>
  <c r="O1281" i="1" a="1"/>
  <c r="N1281" i="1"/>
  <c r="M1281" i="1"/>
  <c r="O1280" i="1"/>
  <c r="O1280" i="1" a="1"/>
  <c r="N1280" i="1"/>
  <c r="M1280" i="1"/>
  <c r="O1279" i="1"/>
  <c r="O1279" i="1" a="1"/>
  <c r="N1279" i="1"/>
  <c r="M1279" i="1"/>
  <c r="O1278" i="1"/>
  <c r="O1278" i="1" a="1"/>
  <c r="N1278" i="1"/>
  <c r="M1278" i="1"/>
  <c r="O1277" i="1"/>
  <c r="O1277" i="1" a="1"/>
  <c r="N1277" i="1"/>
  <c r="M1277" i="1"/>
  <c r="O1276" i="1"/>
  <c r="O1276" i="1" a="1"/>
  <c r="N1276" i="1"/>
  <c r="M1276" i="1"/>
  <c r="O1275" i="1"/>
  <c r="O1275" i="1" a="1"/>
  <c r="N1275" i="1"/>
  <c r="M1275" i="1"/>
  <c r="O1274" i="1"/>
  <c r="O1274" i="1" a="1"/>
  <c r="N1274" i="1"/>
  <c r="M1274" i="1"/>
  <c r="O1273" i="1"/>
  <c r="O1273" i="1" a="1"/>
  <c r="N1273" i="1"/>
  <c r="M1273" i="1"/>
  <c r="O1272" i="1"/>
  <c r="O1272" i="1" a="1"/>
  <c r="N1272" i="1"/>
  <c r="M1272" i="1"/>
  <c r="O1271" i="1"/>
  <c r="O1271" i="1" a="1"/>
  <c r="N1271" i="1"/>
  <c r="M1271" i="1"/>
  <c r="O1270" i="1"/>
  <c r="O1270" i="1" a="1"/>
  <c r="N1270" i="1"/>
  <c r="M1270" i="1"/>
  <c r="O1269" i="1"/>
  <c r="O1269" i="1" a="1"/>
  <c r="N1269" i="1"/>
  <c r="M1269" i="1"/>
  <c r="O1268" i="1"/>
  <c r="O1268" i="1" a="1"/>
  <c r="N1268" i="1"/>
  <c r="M1268" i="1"/>
  <c r="O1267" i="1"/>
  <c r="O1267" i="1" a="1"/>
  <c r="N1267" i="1"/>
  <c r="M1267" i="1"/>
  <c r="O1266" i="1"/>
  <c r="O1266" i="1" a="1"/>
  <c r="N1266" i="1"/>
  <c r="M1266" i="1"/>
  <c r="O1265" i="1"/>
  <c r="O1265" i="1" a="1"/>
  <c r="N1265" i="1"/>
  <c r="M1265" i="1"/>
  <c r="O1264" i="1"/>
  <c r="O1264" i="1" a="1"/>
  <c r="N1264" i="1"/>
  <c r="M1264" i="1"/>
  <c r="O1263" i="1"/>
  <c r="O1263" i="1" a="1"/>
  <c r="N1263" i="1"/>
  <c r="M1263" i="1"/>
  <c r="O1262" i="1"/>
  <c r="O1262" i="1" a="1"/>
  <c r="N1262" i="1"/>
  <c r="M1262" i="1"/>
  <c r="O1261" i="1"/>
  <c r="O1261" i="1" a="1"/>
  <c r="N1261" i="1"/>
  <c r="M1261" i="1"/>
  <c r="O1260" i="1"/>
  <c r="O1260" i="1" a="1"/>
  <c r="N1260" i="1"/>
  <c r="M1260" i="1"/>
  <c r="O1259" i="1"/>
  <c r="O1259" i="1" a="1"/>
  <c r="N1259" i="1"/>
  <c r="M1259" i="1"/>
  <c r="O1258" i="1"/>
  <c r="O1258" i="1" a="1"/>
  <c r="N1258" i="1"/>
  <c r="M1258" i="1"/>
  <c r="O1257" i="1"/>
  <c r="O1257" i="1" a="1"/>
  <c r="N1257" i="1"/>
  <c r="M1257" i="1"/>
  <c r="O1256" i="1"/>
  <c r="O1256" i="1" a="1"/>
  <c r="N1256" i="1"/>
  <c r="M1256" i="1"/>
  <c r="O1255" i="1"/>
  <c r="O1255" i="1" a="1"/>
  <c r="N1255" i="1"/>
  <c r="M1255" i="1"/>
  <c r="O1254" i="1"/>
  <c r="O1254" i="1" a="1"/>
  <c r="N1254" i="1"/>
  <c r="M1254" i="1"/>
  <c r="O1253" i="1"/>
  <c r="O1253" i="1" a="1"/>
  <c r="N1253" i="1"/>
  <c r="M1253" i="1"/>
  <c r="O1252" i="1"/>
  <c r="O1252" i="1" a="1"/>
  <c r="N1252" i="1"/>
  <c r="M1252" i="1"/>
  <c r="O1251" i="1"/>
  <c r="O1251" i="1" a="1"/>
  <c r="N1251" i="1"/>
  <c r="M1251" i="1"/>
  <c r="O1250" i="1"/>
  <c r="O1250" i="1" a="1"/>
  <c r="N1250" i="1"/>
  <c r="M1250" i="1"/>
  <c r="O1249" i="1"/>
  <c r="O1249" i="1" a="1"/>
  <c r="N1249" i="1"/>
  <c r="M1249" i="1"/>
  <c r="O1248" i="1"/>
  <c r="O1248" i="1" a="1"/>
  <c r="N1248" i="1"/>
  <c r="M1248" i="1"/>
  <c r="O1247" i="1"/>
  <c r="O1247" i="1" a="1"/>
  <c r="N1247" i="1"/>
  <c r="M1247" i="1"/>
  <c r="O1246" i="1"/>
  <c r="O1246" i="1" a="1"/>
  <c r="N1246" i="1"/>
  <c r="M1246" i="1"/>
  <c r="O1245" i="1"/>
  <c r="O1245" i="1" a="1"/>
  <c r="N1245" i="1"/>
  <c r="M1245" i="1"/>
  <c r="O1244" i="1"/>
  <c r="O1244" i="1" a="1"/>
  <c r="N1244" i="1"/>
  <c r="M1244" i="1"/>
  <c r="O1243" i="1"/>
  <c r="O1243" i="1" a="1"/>
  <c r="N1243" i="1"/>
  <c r="M1243" i="1"/>
  <c r="O1242" i="1"/>
  <c r="O1242" i="1" a="1"/>
  <c r="N1242" i="1"/>
  <c r="M1242" i="1"/>
  <c r="O1241" i="1"/>
  <c r="O1241" i="1" a="1"/>
  <c r="N1241" i="1"/>
  <c r="M1241" i="1"/>
  <c r="O1240" i="1"/>
  <c r="O1240" i="1" a="1"/>
  <c r="N1240" i="1"/>
  <c r="M1240" i="1"/>
  <c r="O1239" i="1"/>
  <c r="O1239" i="1" a="1"/>
  <c r="N1239" i="1"/>
  <c r="M1239" i="1"/>
  <c r="O1238" i="1"/>
  <c r="O1238" i="1" a="1"/>
  <c r="N1238" i="1"/>
  <c r="M1238" i="1"/>
  <c r="O1237" i="1"/>
  <c r="O1237" i="1" a="1"/>
  <c r="N1237" i="1"/>
  <c r="M1237" i="1"/>
  <c r="O1236" i="1"/>
  <c r="O1236" i="1" a="1"/>
  <c r="N1236" i="1"/>
  <c r="M1236" i="1"/>
  <c r="O1235" i="1"/>
  <c r="O1235" i="1" a="1"/>
  <c r="N1235" i="1"/>
  <c r="M1235" i="1"/>
  <c r="O1234" i="1"/>
  <c r="O1234" i="1" a="1"/>
  <c r="N1234" i="1"/>
  <c r="M1234" i="1"/>
  <c r="O1233" i="1"/>
  <c r="O1233" i="1" a="1"/>
  <c r="N1233" i="1"/>
  <c r="M1233" i="1"/>
  <c r="O1232" i="1"/>
  <c r="O1232" i="1" a="1"/>
  <c r="N1232" i="1"/>
  <c r="M1232" i="1"/>
  <c r="O1231" i="1"/>
  <c r="O1231" i="1" a="1"/>
  <c r="N1231" i="1"/>
  <c r="M1231" i="1"/>
  <c r="O1230" i="1"/>
  <c r="O1230" i="1" a="1"/>
  <c r="N1230" i="1"/>
  <c r="M1230" i="1"/>
  <c r="O1229" i="1"/>
  <c r="O1229" i="1" a="1"/>
  <c r="N1229" i="1"/>
  <c r="M1229" i="1"/>
  <c r="O1228" i="1"/>
  <c r="O1228" i="1" a="1"/>
  <c r="N1228" i="1"/>
  <c r="M1228" i="1"/>
  <c r="O1227" i="1"/>
  <c r="O1227" i="1" a="1"/>
  <c r="N1227" i="1"/>
  <c r="M1227" i="1"/>
  <c r="O1226" i="1"/>
  <c r="O1226" i="1" a="1"/>
  <c r="N1226" i="1"/>
  <c r="M1226" i="1"/>
  <c r="O1225" i="1"/>
  <c r="O1225" i="1" a="1"/>
  <c r="N1225" i="1"/>
  <c r="M1225" i="1"/>
  <c r="O1224" i="1"/>
  <c r="O1224" i="1" a="1"/>
  <c r="N1224" i="1"/>
  <c r="M1224" i="1"/>
  <c r="O1223" i="1"/>
  <c r="O1223" i="1" a="1"/>
  <c r="N1223" i="1"/>
  <c r="M1223" i="1"/>
  <c r="O1222" i="1"/>
  <c r="O1222" i="1" a="1"/>
  <c r="N1222" i="1"/>
  <c r="M1222" i="1"/>
  <c r="O1221" i="1"/>
  <c r="O1221" i="1" a="1"/>
  <c r="N1221" i="1"/>
  <c r="M1221" i="1"/>
  <c r="O1220" i="1"/>
  <c r="O1220" i="1" a="1"/>
  <c r="N1220" i="1"/>
  <c r="M1220" i="1"/>
  <c r="O1219" i="1"/>
  <c r="O1219" i="1" a="1"/>
  <c r="N1219" i="1"/>
  <c r="M1219" i="1"/>
  <c r="O1218" i="1"/>
  <c r="O1218" i="1" a="1"/>
  <c r="N1218" i="1"/>
  <c r="M1218" i="1"/>
  <c r="O1217" i="1"/>
  <c r="O1217" i="1" a="1"/>
  <c r="N1217" i="1"/>
  <c r="M1217" i="1"/>
  <c r="O1216" i="1"/>
  <c r="O1216" i="1" a="1"/>
  <c r="N1216" i="1"/>
  <c r="M1216" i="1"/>
  <c r="O1215" i="1"/>
  <c r="O1215" i="1" a="1"/>
  <c r="N1215" i="1"/>
  <c r="M1215" i="1"/>
  <c r="O1214" i="1"/>
  <c r="O1214" i="1" a="1"/>
  <c r="N1214" i="1"/>
  <c r="M1214" i="1"/>
  <c r="O1213" i="1"/>
  <c r="O1213" i="1" a="1"/>
  <c r="N1213" i="1"/>
  <c r="M1213" i="1"/>
  <c r="O1212" i="1"/>
  <c r="O1212" i="1" a="1"/>
  <c r="N1212" i="1"/>
  <c r="M1212" i="1"/>
  <c r="O1211" i="1"/>
  <c r="O1211" i="1" a="1"/>
  <c r="N1211" i="1"/>
  <c r="M1211" i="1"/>
  <c r="O1210" i="1"/>
  <c r="O1210" i="1" a="1"/>
  <c r="N1210" i="1"/>
  <c r="M1210" i="1"/>
  <c r="O1209" i="1"/>
  <c r="O1209" i="1" a="1"/>
  <c r="N1209" i="1"/>
  <c r="M1209" i="1"/>
  <c r="O1208" i="1"/>
  <c r="O1208" i="1" a="1"/>
  <c r="N1208" i="1"/>
  <c r="M1208" i="1"/>
  <c r="O1207" i="1"/>
  <c r="O1207" i="1" a="1"/>
  <c r="N1207" i="1"/>
  <c r="M1207" i="1"/>
  <c r="O1206" i="1"/>
  <c r="O1206" i="1" a="1"/>
  <c r="N1206" i="1"/>
  <c r="M1206" i="1"/>
  <c r="O1205" i="1"/>
  <c r="O1205" i="1" a="1"/>
  <c r="N1205" i="1"/>
  <c r="M1205" i="1"/>
  <c r="O1204" i="1"/>
  <c r="O1204" i="1" a="1"/>
  <c r="N1204" i="1"/>
  <c r="M1204" i="1"/>
  <c r="O1203" i="1"/>
  <c r="O1203" i="1" a="1"/>
  <c r="N1203" i="1"/>
  <c r="M1203" i="1"/>
  <c r="O1202" i="1"/>
  <c r="O1202" i="1" a="1"/>
  <c r="N1202" i="1"/>
  <c r="M1202" i="1"/>
  <c r="O1201" i="1"/>
  <c r="O1201" i="1" a="1"/>
  <c r="N1201" i="1"/>
  <c r="M1201" i="1"/>
  <c r="O1200" i="1"/>
  <c r="O1200" i="1" a="1"/>
  <c r="N1200" i="1"/>
  <c r="M1200" i="1"/>
  <c r="O1199" i="1"/>
  <c r="O1199" i="1" a="1"/>
  <c r="N1199" i="1"/>
  <c r="M1199" i="1"/>
  <c r="O1198" i="1"/>
  <c r="O1198" i="1" a="1"/>
  <c r="N1198" i="1"/>
  <c r="M1198" i="1"/>
  <c r="O1197" i="1"/>
  <c r="O1197" i="1" a="1"/>
  <c r="N1197" i="1"/>
  <c r="M1197" i="1"/>
  <c r="O1196" i="1"/>
  <c r="O1196" i="1" a="1"/>
  <c r="N1196" i="1"/>
  <c r="M1196" i="1"/>
  <c r="O1195" i="1"/>
  <c r="O1195" i="1" a="1"/>
  <c r="N1195" i="1"/>
  <c r="M1195" i="1"/>
  <c r="O1194" i="1"/>
  <c r="O1194" i="1" a="1"/>
  <c r="N1194" i="1"/>
  <c r="M1194" i="1"/>
  <c r="O1193" i="1"/>
  <c r="O1193" i="1" a="1"/>
  <c r="N1193" i="1"/>
  <c r="M1193" i="1"/>
  <c r="O1192" i="1"/>
  <c r="O1192" i="1" a="1"/>
  <c r="N1192" i="1"/>
  <c r="M1192" i="1"/>
  <c r="O1191" i="1"/>
  <c r="O1191" i="1" a="1"/>
  <c r="N1191" i="1"/>
  <c r="M1191" i="1"/>
  <c r="O1190" i="1"/>
  <c r="O1190" i="1" a="1"/>
  <c r="N1190" i="1"/>
  <c r="M1190" i="1"/>
  <c r="O1189" i="1"/>
  <c r="O1189" i="1" a="1"/>
  <c r="N1189" i="1"/>
  <c r="M1189" i="1"/>
  <c r="O1188" i="1"/>
  <c r="O1188" i="1" a="1"/>
  <c r="N1188" i="1"/>
  <c r="M1188" i="1"/>
  <c r="O1187" i="1"/>
  <c r="O1187" i="1" a="1"/>
  <c r="N1187" i="1"/>
  <c r="M1187" i="1"/>
  <c r="O1186" i="1"/>
  <c r="O1186" i="1" a="1"/>
  <c r="N1186" i="1"/>
  <c r="M1186" i="1"/>
  <c r="O1185" i="1"/>
  <c r="O1185" i="1" a="1"/>
  <c r="N1185" i="1"/>
  <c r="M1185" i="1"/>
  <c r="O1184" i="1"/>
  <c r="O1184" i="1" a="1"/>
  <c r="N1184" i="1"/>
  <c r="M1184" i="1"/>
  <c r="O1183" i="1"/>
  <c r="O1183" i="1" a="1"/>
  <c r="N1183" i="1"/>
  <c r="M1183" i="1"/>
  <c r="O1182" i="1"/>
  <c r="O1182" i="1" a="1"/>
  <c r="N1182" i="1"/>
  <c r="M1182" i="1"/>
  <c r="O1181" i="1"/>
  <c r="O1181" i="1" a="1"/>
  <c r="N1181" i="1"/>
  <c r="M1181" i="1"/>
  <c r="O1180" i="1"/>
  <c r="O1180" i="1" a="1"/>
  <c r="N1180" i="1"/>
  <c r="M1180" i="1"/>
  <c r="O1179" i="1"/>
  <c r="O1179" i="1" a="1"/>
  <c r="N1179" i="1"/>
  <c r="M1179" i="1"/>
  <c r="O1178" i="1"/>
  <c r="O1178" i="1" a="1"/>
  <c r="N1178" i="1"/>
  <c r="M1178" i="1"/>
  <c r="O1177" i="1"/>
  <c r="O1177" i="1" a="1"/>
  <c r="N1177" i="1"/>
  <c r="M1177" i="1"/>
  <c r="O1176" i="1"/>
  <c r="O1176" i="1" a="1"/>
  <c r="N1176" i="1"/>
  <c r="M1176" i="1"/>
  <c r="O1175" i="1"/>
  <c r="O1175" i="1" a="1"/>
  <c r="N1175" i="1"/>
  <c r="M1175" i="1"/>
  <c r="O1174" i="1"/>
  <c r="O1174" i="1" a="1"/>
  <c r="N1174" i="1"/>
  <c r="M1174" i="1"/>
  <c r="O1173" i="1"/>
  <c r="O1173" i="1" a="1"/>
  <c r="N1173" i="1"/>
  <c r="M1173" i="1"/>
  <c r="O1172" i="1"/>
  <c r="O1172" i="1" a="1"/>
  <c r="N1172" i="1"/>
  <c r="M1172" i="1"/>
  <c r="O1171" i="1"/>
  <c r="O1171" i="1" a="1"/>
  <c r="N1171" i="1"/>
  <c r="M1171" i="1"/>
  <c r="O1170" i="1"/>
  <c r="O1170" i="1" a="1"/>
  <c r="N1170" i="1"/>
  <c r="M1170" i="1"/>
  <c r="O1169" i="1"/>
  <c r="O1169" i="1" a="1"/>
  <c r="N1169" i="1"/>
  <c r="M1169" i="1"/>
  <c r="O1168" i="1"/>
  <c r="O1168" i="1" a="1"/>
  <c r="N1168" i="1"/>
  <c r="M1168" i="1"/>
  <c r="O1167" i="1"/>
  <c r="O1167" i="1" a="1"/>
  <c r="N1167" i="1"/>
  <c r="M1167" i="1"/>
  <c r="O1166" i="1"/>
  <c r="O1166" i="1" a="1"/>
  <c r="N1166" i="1"/>
  <c r="M1166" i="1"/>
  <c r="O1165" i="1"/>
  <c r="O1165" i="1" a="1"/>
  <c r="N1165" i="1"/>
  <c r="M1165" i="1"/>
  <c r="O1164" i="1"/>
  <c r="O1164" i="1" a="1"/>
  <c r="N1164" i="1"/>
  <c r="M1164" i="1"/>
  <c r="O1163" i="1"/>
  <c r="O1163" i="1" a="1"/>
  <c r="N1163" i="1"/>
  <c r="M1163" i="1"/>
  <c r="O1162" i="1"/>
  <c r="O1162" i="1" a="1"/>
  <c r="N1162" i="1"/>
  <c r="M1162" i="1"/>
  <c r="O1161" i="1"/>
  <c r="O1161" i="1" a="1"/>
  <c r="N1161" i="1"/>
  <c r="M1161" i="1"/>
  <c r="O1160" i="1"/>
  <c r="O1160" i="1" a="1"/>
  <c r="N1160" i="1"/>
  <c r="M1160" i="1"/>
  <c r="O1159" i="1"/>
  <c r="O1159" i="1" a="1"/>
  <c r="N1159" i="1"/>
  <c r="M1159" i="1"/>
  <c r="O1158" i="1"/>
  <c r="O1158" i="1" a="1"/>
  <c r="N1158" i="1"/>
  <c r="M1158" i="1"/>
  <c r="O1157" i="1"/>
  <c r="O1157" i="1" a="1"/>
  <c r="N1157" i="1"/>
  <c r="M1157" i="1"/>
  <c r="O1156" i="1"/>
  <c r="O1156" i="1" a="1"/>
  <c r="N1156" i="1"/>
  <c r="M1156" i="1"/>
  <c r="O1155" i="1"/>
  <c r="O1155" i="1" a="1"/>
  <c r="N1155" i="1"/>
  <c r="M1155" i="1"/>
  <c r="O1154" i="1"/>
  <c r="O1154" i="1" a="1"/>
  <c r="N1154" i="1"/>
  <c r="M1154" i="1"/>
  <c r="O1153" i="1"/>
  <c r="O1153" i="1" a="1"/>
  <c r="N1153" i="1"/>
  <c r="M1153" i="1"/>
  <c r="O1152" i="1"/>
  <c r="O1152" i="1" a="1"/>
  <c r="N1152" i="1"/>
  <c r="M1152" i="1"/>
  <c r="O1151" i="1"/>
  <c r="O1151" i="1" a="1"/>
  <c r="N1151" i="1"/>
  <c r="M1151" i="1"/>
  <c r="O1150" i="1"/>
  <c r="O1150" i="1" a="1"/>
  <c r="N1150" i="1"/>
  <c r="M1150" i="1"/>
  <c r="O1149" i="1"/>
  <c r="O1149" i="1" a="1"/>
  <c r="N1149" i="1"/>
  <c r="M1149" i="1"/>
  <c r="O1148" i="1"/>
  <c r="O1148" i="1" a="1"/>
  <c r="N1148" i="1"/>
  <c r="M1148" i="1"/>
  <c r="O1147" i="1"/>
  <c r="O1147" i="1" a="1"/>
  <c r="N1147" i="1"/>
  <c r="M1147" i="1"/>
  <c r="O1146" i="1"/>
  <c r="O1146" i="1" a="1"/>
  <c r="N1146" i="1"/>
  <c r="M1146" i="1"/>
  <c r="O1145" i="1"/>
  <c r="O1145" i="1" a="1"/>
  <c r="N1145" i="1"/>
  <c r="M1145" i="1"/>
  <c r="O1144" i="1"/>
  <c r="O1144" i="1" a="1"/>
  <c r="N1144" i="1"/>
  <c r="M1144" i="1"/>
  <c r="O1143" i="1"/>
  <c r="O1143" i="1" a="1"/>
  <c r="N1143" i="1"/>
  <c r="M1143" i="1"/>
  <c r="O1142" i="1"/>
  <c r="O1142" i="1" a="1"/>
  <c r="N1142" i="1"/>
  <c r="M1142" i="1"/>
  <c r="O1141" i="1"/>
  <c r="O1141" i="1" a="1"/>
  <c r="N1141" i="1"/>
  <c r="M1141" i="1"/>
  <c r="O1140" i="1"/>
  <c r="O1140" i="1" a="1"/>
  <c r="N1140" i="1"/>
  <c r="M1140" i="1"/>
  <c r="O1139" i="1"/>
  <c r="O1139" i="1" a="1"/>
  <c r="N1139" i="1"/>
  <c r="M1139" i="1"/>
  <c r="O1138" i="1"/>
  <c r="O1138" i="1" a="1"/>
  <c r="N1138" i="1"/>
  <c r="M1138" i="1"/>
  <c r="O1137" i="1"/>
  <c r="O1137" i="1" a="1"/>
  <c r="N1137" i="1"/>
  <c r="M1137" i="1"/>
  <c r="O1136" i="1"/>
  <c r="O1136" i="1" a="1"/>
  <c r="N1136" i="1"/>
  <c r="M1136" i="1"/>
  <c r="O1135" i="1"/>
  <c r="O1135" i="1" a="1"/>
  <c r="N1135" i="1"/>
  <c r="M1135" i="1"/>
  <c r="O1134" i="1"/>
  <c r="O1134" i="1" a="1"/>
  <c r="N1134" i="1"/>
  <c r="M1134" i="1"/>
  <c r="O1133" i="1"/>
  <c r="O1133" i="1" a="1"/>
  <c r="N1133" i="1"/>
  <c r="M1133" i="1"/>
  <c r="O1132" i="1"/>
  <c r="O1132" i="1" a="1"/>
  <c r="N1132" i="1"/>
  <c r="M1132" i="1"/>
  <c r="O1131" i="1"/>
  <c r="O1131" i="1" a="1"/>
  <c r="N1131" i="1"/>
  <c r="M1131" i="1"/>
  <c r="O1130" i="1"/>
  <c r="O1130" i="1" a="1"/>
  <c r="N1130" i="1"/>
  <c r="M1130" i="1"/>
  <c r="O1129" i="1"/>
  <c r="O1129" i="1" a="1"/>
  <c r="N1129" i="1"/>
  <c r="M1129" i="1"/>
  <c r="O1128" i="1"/>
  <c r="O1128" i="1" a="1"/>
  <c r="N1128" i="1"/>
  <c r="M1128" i="1"/>
  <c r="O1127" i="1"/>
  <c r="O1127" i="1" a="1"/>
  <c r="N1127" i="1"/>
  <c r="M1127" i="1"/>
  <c r="O1126" i="1"/>
  <c r="O1126" i="1" a="1"/>
  <c r="N1126" i="1"/>
  <c r="M1126" i="1"/>
  <c r="O1125" i="1"/>
  <c r="O1125" i="1" a="1"/>
  <c r="N1125" i="1"/>
  <c r="M1125" i="1"/>
  <c r="O1124" i="1"/>
  <c r="O1124" i="1" a="1"/>
  <c r="N1124" i="1"/>
  <c r="M1124" i="1"/>
  <c r="O1123" i="1"/>
  <c r="O1123" i="1" a="1"/>
  <c r="N1123" i="1"/>
  <c r="M1123" i="1"/>
  <c r="O1122" i="1"/>
  <c r="O1122" i="1" a="1"/>
  <c r="N1122" i="1"/>
  <c r="M1122" i="1"/>
  <c r="O1121" i="1"/>
  <c r="O1121" i="1" a="1"/>
  <c r="N1121" i="1"/>
  <c r="M1121" i="1"/>
  <c r="O1120" i="1"/>
  <c r="O1120" i="1" a="1"/>
  <c r="N1120" i="1"/>
  <c r="M1120" i="1"/>
  <c r="O1119" i="1"/>
  <c r="O1119" i="1" a="1"/>
  <c r="N1119" i="1"/>
  <c r="M1119" i="1"/>
  <c r="O1118" i="1"/>
  <c r="O1118" i="1" a="1"/>
  <c r="N1118" i="1"/>
  <c r="M1118" i="1"/>
  <c r="O1117" i="1"/>
  <c r="O1117" i="1" a="1"/>
  <c r="N1117" i="1"/>
  <c r="M1117" i="1"/>
  <c r="O1116" i="1"/>
  <c r="O1116" i="1" a="1"/>
  <c r="N1116" i="1"/>
  <c r="M1116" i="1"/>
  <c r="O1115" i="1"/>
  <c r="O1115" i="1" a="1"/>
  <c r="N1115" i="1"/>
  <c r="M1115" i="1"/>
  <c r="O1114" i="1"/>
  <c r="O1114" i="1" a="1"/>
  <c r="N1114" i="1"/>
  <c r="M1114" i="1"/>
  <c r="O1113" i="1"/>
  <c r="O1113" i="1" a="1"/>
  <c r="N1113" i="1"/>
  <c r="M1113" i="1"/>
  <c r="O1112" i="1"/>
  <c r="O1112" i="1" a="1"/>
  <c r="N1112" i="1"/>
  <c r="M1112" i="1"/>
  <c r="O1111" i="1"/>
  <c r="O1111" i="1" a="1"/>
  <c r="N1111" i="1"/>
  <c r="M1111" i="1"/>
  <c r="O1110" i="1"/>
  <c r="O1110" i="1" a="1"/>
  <c r="N1110" i="1"/>
  <c r="M1110" i="1"/>
  <c r="O1109" i="1"/>
  <c r="O1109" i="1" a="1"/>
  <c r="N1109" i="1"/>
  <c r="M1109" i="1"/>
  <c r="O1108" i="1"/>
  <c r="O1108" i="1" a="1"/>
  <c r="N1108" i="1"/>
  <c r="M1108" i="1"/>
  <c r="O1107" i="1"/>
  <c r="O1107" i="1" a="1"/>
  <c r="N1107" i="1"/>
  <c r="M1107" i="1"/>
  <c r="O1106" i="1"/>
  <c r="O1106" i="1" a="1"/>
  <c r="N1106" i="1"/>
  <c r="M1106" i="1"/>
  <c r="O1105" i="1"/>
  <c r="O1105" i="1" a="1"/>
  <c r="N1105" i="1"/>
  <c r="M1105" i="1"/>
  <c r="O1104" i="1"/>
  <c r="O1104" i="1" a="1"/>
  <c r="N1104" i="1"/>
  <c r="M1104" i="1"/>
  <c r="O1103" i="1"/>
  <c r="O1103" i="1" a="1"/>
  <c r="N1103" i="1"/>
  <c r="M1103" i="1"/>
  <c r="O1102" i="1"/>
  <c r="O1102" i="1" a="1"/>
  <c r="N1102" i="1"/>
  <c r="M1102" i="1"/>
  <c r="O1101" i="1"/>
  <c r="O1101" i="1" a="1"/>
  <c r="N1101" i="1"/>
  <c r="M1101" i="1"/>
  <c r="O1100" i="1"/>
  <c r="O1100" i="1" a="1"/>
  <c r="N1100" i="1"/>
  <c r="M1100" i="1"/>
  <c r="O1099" i="1"/>
  <c r="O1099" i="1" a="1"/>
  <c r="N1099" i="1"/>
  <c r="M1099" i="1"/>
  <c r="O1098" i="1"/>
  <c r="O1098" i="1" a="1"/>
  <c r="N1098" i="1"/>
  <c r="M1098" i="1"/>
  <c r="O1097" i="1"/>
  <c r="O1097" i="1" a="1"/>
  <c r="N1097" i="1"/>
  <c r="M1097" i="1"/>
  <c r="O1096" i="1"/>
  <c r="O1096" i="1" a="1"/>
  <c r="N1096" i="1"/>
  <c r="M1096" i="1"/>
  <c r="O1095" i="1"/>
  <c r="O1095" i="1" a="1"/>
  <c r="N1095" i="1"/>
  <c r="M1095" i="1"/>
  <c r="O1094" i="1"/>
  <c r="O1094" i="1" a="1"/>
  <c r="N1094" i="1"/>
  <c r="M1094" i="1"/>
  <c r="O1093" i="1"/>
  <c r="O1093" i="1" a="1"/>
  <c r="N1093" i="1"/>
  <c r="M1093" i="1"/>
  <c r="O1092" i="1"/>
  <c r="O1092" i="1" a="1"/>
  <c r="N1092" i="1"/>
  <c r="M1092" i="1"/>
  <c r="O1091" i="1"/>
  <c r="O1091" i="1" a="1"/>
  <c r="N1091" i="1"/>
  <c r="M1091" i="1"/>
  <c r="O1090" i="1"/>
  <c r="O1090" i="1" a="1"/>
  <c r="N1090" i="1"/>
  <c r="M1090" i="1"/>
  <c r="O1089" i="1"/>
  <c r="O1089" i="1" a="1"/>
  <c r="N1089" i="1"/>
  <c r="M1089" i="1"/>
  <c r="O1088" i="1"/>
  <c r="O1088" i="1" a="1"/>
  <c r="N1088" i="1"/>
  <c r="M1088" i="1"/>
  <c r="O1087" i="1"/>
  <c r="O1087" i="1" a="1"/>
  <c r="N1087" i="1"/>
  <c r="M1087" i="1"/>
  <c r="O1086" i="1"/>
  <c r="O1086" i="1" a="1"/>
  <c r="N1086" i="1"/>
  <c r="M1086" i="1"/>
  <c r="O1085" i="1"/>
  <c r="O1085" i="1" a="1"/>
  <c r="N1085" i="1"/>
  <c r="M1085" i="1"/>
  <c r="O1084" i="1"/>
  <c r="O1084" i="1" a="1"/>
  <c r="N1084" i="1"/>
  <c r="M1084" i="1"/>
  <c r="O1083" i="1"/>
  <c r="O1083" i="1" a="1"/>
  <c r="N1083" i="1"/>
  <c r="M1083" i="1"/>
  <c r="O1082" i="1"/>
  <c r="O1082" i="1" a="1"/>
  <c r="N1082" i="1"/>
  <c r="M1082" i="1"/>
  <c r="O1081" i="1"/>
  <c r="O1081" i="1" a="1"/>
  <c r="N1081" i="1"/>
  <c r="M1081" i="1"/>
  <c r="O1080" i="1"/>
  <c r="O1080" i="1" a="1"/>
  <c r="N1080" i="1"/>
  <c r="M1080" i="1"/>
  <c r="O1079" i="1"/>
  <c r="O1079" i="1" a="1"/>
  <c r="N1079" i="1"/>
  <c r="M1079" i="1"/>
  <c r="O1078" i="1"/>
  <c r="O1078" i="1" a="1"/>
  <c r="N1078" i="1"/>
  <c r="M1078" i="1"/>
  <c r="O1077" i="1"/>
  <c r="O1077" i="1" a="1"/>
  <c r="N1077" i="1"/>
  <c r="M1077" i="1"/>
  <c r="O1076" i="1"/>
  <c r="O1076" i="1" a="1"/>
  <c r="N1076" i="1"/>
  <c r="M1076" i="1"/>
  <c r="O1075" i="1"/>
  <c r="O1075" i="1" a="1"/>
  <c r="N1075" i="1"/>
  <c r="M1075" i="1"/>
  <c r="O1074" i="1"/>
  <c r="O1074" i="1" a="1"/>
  <c r="N1074" i="1"/>
  <c r="M1074" i="1"/>
  <c r="O1073" i="1"/>
  <c r="O1073" i="1" a="1"/>
  <c r="N1073" i="1"/>
  <c r="M1073" i="1"/>
  <c r="O1072" i="1"/>
  <c r="O1072" i="1" a="1"/>
  <c r="N1072" i="1"/>
  <c r="M1072" i="1"/>
  <c r="O1071" i="1"/>
  <c r="O1071" i="1" a="1"/>
  <c r="N1071" i="1"/>
  <c r="M1071" i="1"/>
  <c r="O1070" i="1"/>
  <c r="O1070" i="1" a="1"/>
  <c r="N1070" i="1"/>
  <c r="M1070" i="1"/>
  <c r="O1069" i="1"/>
  <c r="O1069" i="1" a="1"/>
  <c r="N1069" i="1"/>
  <c r="M1069" i="1"/>
  <c r="O1068" i="1"/>
  <c r="O1068" i="1" a="1"/>
  <c r="N1068" i="1"/>
  <c r="M1068" i="1"/>
  <c r="O1067" i="1"/>
  <c r="O1067" i="1" a="1"/>
  <c r="N1067" i="1"/>
  <c r="M1067" i="1"/>
  <c r="O1066" i="1"/>
  <c r="O1066" i="1" a="1"/>
  <c r="N1066" i="1"/>
  <c r="M1066" i="1"/>
  <c r="O1065" i="1"/>
  <c r="O1065" i="1" a="1"/>
  <c r="N1065" i="1"/>
  <c r="M1065" i="1"/>
  <c r="O1064" i="1"/>
  <c r="O1064" i="1" a="1"/>
  <c r="N1064" i="1"/>
  <c r="M1064" i="1"/>
  <c r="O1063" i="1"/>
  <c r="O1063" i="1" a="1"/>
  <c r="N1063" i="1"/>
  <c r="M1063" i="1"/>
  <c r="O1062" i="1"/>
  <c r="O1062" i="1" a="1"/>
  <c r="N1062" i="1"/>
  <c r="M1062" i="1"/>
  <c r="O1061" i="1"/>
  <c r="O1061" i="1" a="1"/>
  <c r="N1061" i="1"/>
  <c r="M1061" i="1"/>
  <c r="O1060" i="1"/>
  <c r="O1060" i="1" a="1"/>
  <c r="N1060" i="1"/>
  <c r="M1060" i="1"/>
  <c r="O1059" i="1"/>
  <c r="O1059" i="1" a="1"/>
  <c r="N1059" i="1"/>
  <c r="M1059" i="1"/>
  <c r="O1058" i="1"/>
  <c r="O1058" i="1" a="1"/>
  <c r="N1058" i="1"/>
  <c r="M1058" i="1"/>
  <c r="O1057" i="1"/>
  <c r="O1057" i="1" a="1"/>
  <c r="N1057" i="1"/>
  <c r="M1057" i="1"/>
  <c r="O1056" i="1"/>
  <c r="O1056" i="1" a="1"/>
  <c r="N1056" i="1"/>
  <c r="M1056" i="1"/>
  <c r="O1055" i="1"/>
  <c r="O1055" i="1" a="1"/>
  <c r="N1055" i="1"/>
  <c r="M1055" i="1"/>
  <c r="O1054" i="1"/>
  <c r="O1054" i="1" a="1"/>
  <c r="N1054" i="1"/>
  <c r="M1054" i="1"/>
  <c r="O1053" i="1"/>
  <c r="O1053" i="1" a="1"/>
  <c r="N1053" i="1"/>
  <c r="M1053" i="1"/>
  <c r="O1052" i="1"/>
  <c r="O1052" i="1" a="1"/>
  <c r="N1052" i="1"/>
  <c r="M1052" i="1"/>
  <c r="O1051" i="1"/>
  <c r="O1051" i="1" a="1"/>
  <c r="N1051" i="1"/>
  <c r="M1051" i="1"/>
  <c r="O1050" i="1"/>
  <c r="O1050" i="1" a="1"/>
  <c r="N1050" i="1"/>
  <c r="M1050" i="1"/>
  <c r="O1049" i="1"/>
  <c r="O1049" i="1" a="1"/>
  <c r="N1049" i="1"/>
  <c r="M1049" i="1"/>
  <c r="O1048" i="1"/>
  <c r="O1048" i="1" a="1"/>
  <c r="N1048" i="1"/>
  <c r="M1048" i="1"/>
  <c r="O1047" i="1"/>
  <c r="O1047" i="1" a="1"/>
  <c r="N1047" i="1"/>
  <c r="M1047" i="1"/>
  <c r="O1046" i="1"/>
  <c r="O1046" i="1" a="1"/>
  <c r="N1046" i="1"/>
  <c r="M1046" i="1"/>
  <c r="O1045" i="1"/>
  <c r="O1045" i="1" a="1"/>
  <c r="N1045" i="1"/>
  <c r="M1045" i="1"/>
  <c r="O1044" i="1"/>
  <c r="O1044" i="1" a="1"/>
  <c r="N1044" i="1"/>
  <c r="M1044" i="1"/>
  <c r="O1043" i="1"/>
  <c r="O1043" i="1" a="1"/>
  <c r="N1043" i="1"/>
  <c r="M1043" i="1"/>
  <c r="O1042" i="1"/>
  <c r="O1042" i="1" a="1"/>
  <c r="N1042" i="1"/>
  <c r="M1042" i="1"/>
  <c r="O1041" i="1"/>
  <c r="O1041" i="1" a="1"/>
  <c r="N1041" i="1"/>
  <c r="M1041" i="1"/>
  <c r="O1040" i="1"/>
  <c r="O1040" i="1" a="1"/>
  <c r="N1040" i="1"/>
  <c r="M1040" i="1"/>
  <c r="O1039" i="1"/>
  <c r="O1039" i="1" a="1"/>
  <c r="N1039" i="1"/>
  <c r="M1039" i="1"/>
  <c r="O1038" i="1"/>
  <c r="O1038" i="1" a="1"/>
  <c r="N1038" i="1"/>
  <c r="M1038" i="1"/>
  <c r="O1037" i="1"/>
  <c r="O1037" i="1" a="1"/>
  <c r="N1037" i="1"/>
  <c r="M1037" i="1"/>
  <c r="O1036" i="1"/>
  <c r="O1036" i="1" a="1"/>
  <c r="N1036" i="1"/>
  <c r="M1036" i="1"/>
  <c r="O1035" i="1"/>
  <c r="O1035" i="1" a="1"/>
  <c r="N1035" i="1"/>
  <c r="M1035" i="1"/>
  <c r="O1034" i="1"/>
  <c r="O1034" i="1" a="1"/>
  <c r="N1034" i="1"/>
  <c r="M1034" i="1"/>
  <c r="O1033" i="1"/>
  <c r="O1033" i="1" a="1"/>
  <c r="N1033" i="1"/>
  <c r="M1033" i="1"/>
  <c r="O1032" i="1"/>
  <c r="O1032" i="1" a="1"/>
  <c r="N1032" i="1"/>
  <c r="M1032" i="1"/>
  <c r="O1031" i="1"/>
  <c r="O1031" i="1" a="1"/>
  <c r="N1031" i="1"/>
  <c r="M1031" i="1"/>
  <c r="O1030" i="1"/>
  <c r="O1030" i="1" a="1"/>
  <c r="N1030" i="1"/>
  <c r="M1030" i="1"/>
  <c r="O1029" i="1"/>
  <c r="O1029" i="1" a="1"/>
  <c r="N1029" i="1"/>
  <c r="M1029" i="1"/>
  <c r="O1028" i="1"/>
  <c r="O1028" i="1" a="1"/>
  <c r="N1028" i="1"/>
  <c r="M1028" i="1"/>
  <c r="O1027" i="1"/>
  <c r="O1027" i="1" a="1"/>
  <c r="N1027" i="1"/>
  <c r="M1027" i="1"/>
  <c r="O1026" i="1"/>
  <c r="O1026" i="1" a="1"/>
  <c r="N1026" i="1"/>
  <c r="M1026" i="1"/>
  <c r="O1025" i="1"/>
  <c r="O1025" i="1" a="1"/>
  <c r="N1025" i="1"/>
  <c r="M1025" i="1"/>
  <c r="O1024" i="1"/>
  <c r="O1024" i="1" a="1"/>
  <c r="N1024" i="1"/>
  <c r="M1024" i="1"/>
  <c r="O1023" i="1"/>
  <c r="O1023" i="1" a="1"/>
  <c r="N1023" i="1"/>
  <c r="M1023" i="1"/>
  <c r="O1022" i="1"/>
  <c r="O1022" i="1" a="1"/>
  <c r="N1022" i="1"/>
  <c r="M1022" i="1"/>
  <c r="O1021" i="1"/>
  <c r="O1021" i="1" a="1"/>
  <c r="N1021" i="1"/>
  <c r="M1021" i="1"/>
  <c r="O1020" i="1"/>
  <c r="O1020" i="1" a="1"/>
  <c r="N1020" i="1"/>
  <c r="M1020" i="1"/>
  <c r="O1019" i="1"/>
  <c r="O1019" i="1" a="1"/>
  <c r="N1019" i="1"/>
  <c r="M1019" i="1"/>
  <c r="O1018" i="1"/>
  <c r="O1018" i="1" a="1"/>
  <c r="N1018" i="1"/>
  <c r="M1018" i="1"/>
  <c r="O1017" i="1"/>
  <c r="O1017" i="1" a="1"/>
  <c r="N1017" i="1"/>
  <c r="M1017" i="1"/>
  <c r="O1016" i="1"/>
  <c r="O1016" i="1" a="1"/>
  <c r="N1016" i="1"/>
  <c r="M1016" i="1"/>
  <c r="O1015" i="1"/>
  <c r="O1015" i="1" a="1"/>
  <c r="N1015" i="1"/>
  <c r="M1015" i="1"/>
  <c r="O1014" i="1"/>
  <c r="O1014" i="1" a="1"/>
  <c r="N1014" i="1"/>
  <c r="M1014" i="1"/>
  <c r="O1013" i="1"/>
  <c r="O1013" i="1" a="1"/>
  <c r="N1013" i="1"/>
  <c r="M1013" i="1"/>
  <c r="O1012" i="1"/>
  <c r="O1012" i="1" a="1"/>
  <c r="N1012" i="1"/>
  <c r="M1012" i="1"/>
  <c r="O1011" i="1"/>
  <c r="O1011" i="1" a="1"/>
  <c r="N1011" i="1"/>
  <c r="M1011" i="1"/>
  <c r="O1010" i="1"/>
  <c r="O1010" i="1" a="1"/>
  <c r="N1010" i="1"/>
  <c r="M1010" i="1"/>
  <c r="O1009" i="1"/>
  <c r="O1009" i="1" a="1"/>
  <c r="N1009" i="1"/>
  <c r="M1009" i="1"/>
  <c r="O1008" i="1"/>
  <c r="O1008" i="1" a="1"/>
  <c r="N1008" i="1"/>
  <c r="M1008" i="1"/>
  <c r="O1007" i="1"/>
  <c r="O1007" i="1" a="1"/>
  <c r="N1007" i="1"/>
  <c r="M1007" i="1"/>
  <c r="O1006" i="1"/>
  <c r="O1006" i="1" a="1"/>
  <c r="N1006" i="1"/>
  <c r="M1006" i="1"/>
  <c r="O1005" i="1"/>
  <c r="O1005" i="1" a="1"/>
  <c r="N1005" i="1"/>
  <c r="M1005" i="1"/>
  <c r="O1004" i="1"/>
  <c r="O1004" i="1" a="1"/>
  <c r="N1004" i="1"/>
  <c r="M1004" i="1"/>
  <c r="O1003" i="1"/>
  <c r="O1003" i="1" a="1"/>
  <c r="N1003" i="1"/>
  <c r="M1003" i="1"/>
  <c r="O1002" i="1"/>
  <c r="O1002" i="1" a="1"/>
  <c r="N1002" i="1"/>
  <c r="M1002" i="1"/>
  <c r="O1001" i="1"/>
  <c r="O1001" i="1" a="1"/>
  <c r="N1001" i="1"/>
  <c r="M1001" i="1"/>
  <c r="O1000" i="1"/>
  <c r="O1000" i="1" a="1"/>
  <c r="N1000" i="1"/>
  <c r="M1000" i="1"/>
  <c r="O999" i="1"/>
  <c r="O999" i="1" a="1"/>
  <c r="N999" i="1"/>
  <c r="M999" i="1"/>
  <c r="O998" i="1"/>
  <c r="O998" i="1" a="1"/>
  <c r="N998" i="1"/>
  <c r="M998" i="1"/>
  <c r="O997" i="1"/>
  <c r="O997" i="1" a="1"/>
  <c r="N997" i="1"/>
  <c r="M997" i="1"/>
  <c r="O996" i="1"/>
  <c r="O996" i="1" a="1"/>
  <c r="N996" i="1"/>
  <c r="M996" i="1"/>
  <c r="O995" i="1"/>
  <c r="O995" i="1" a="1"/>
  <c r="N995" i="1"/>
  <c r="M995" i="1"/>
  <c r="O994" i="1"/>
  <c r="O994" i="1" a="1"/>
  <c r="N994" i="1"/>
  <c r="M994" i="1"/>
  <c r="O993" i="1"/>
  <c r="O993" i="1" a="1"/>
  <c r="N993" i="1"/>
  <c r="M993" i="1"/>
  <c r="O992" i="1"/>
  <c r="O992" i="1" a="1"/>
  <c r="N992" i="1"/>
  <c r="M992" i="1"/>
  <c r="O991" i="1"/>
  <c r="O991" i="1" a="1"/>
  <c r="N991" i="1"/>
  <c r="M991" i="1"/>
  <c r="O990" i="1"/>
  <c r="O990" i="1" a="1"/>
  <c r="N990" i="1"/>
  <c r="M990" i="1"/>
  <c r="O989" i="1"/>
  <c r="O989" i="1" a="1"/>
  <c r="N989" i="1"/>
  <c r="M989" i="1"/>
  <c r="O988" i="1"/>
  <c r="O988" i="1" a="1"/>
  <c r="N988" i="1"/>
  <c r="M988" i="1"/>
  <c r="O987" i="1"/>
  <c r="O987" i="1" a="1"/>
  <c r="N987" i="1"/>
  <c r="M987" i="1"/>
  <c r="O986" i="1"/>
  <c r="O986" i="1" a="1"/>
  <c r="N986" i="1"/>
  <c r="M986" i="1"/>
  <c r="O985" i="1"/>
  <c r="O985" i="1" a="1"/>
  <c r="N985" i="1"/>
  <c r="M985" i="1"/>
  <c r="O984" i="1"/>
  <c r="O984" i="1" a="1"/>
  <c r="N984" i="1"/>
  <c r="M984" i="1"/>
  <c r="O983" i="1"/>
  <c r="O983" i="1" a="1"/>
  <c r="N983" i="1"/>
  <c r="M983" i="1"/>
  <c r="O982" i="1"/>
  <c r="O982" i="1" a="1"/>
  <c r="N982" i="1"/>
  <c r="M982" i="1"/>
  <c r="O981" i="1"/>
  <c r="O981" i="1" a="1"/>
  <c r="N981" i="1"/>
  <c r="M981" i="1"/>
  <c r="O980" i="1"/>
  <c r="O980" i="1" a="1"/>
  <c r="N980" i="1"/>
  <c r="M980" i="1"/>
  <c r="O979" i="1"/>
  <c r="O979" i="1" a="1"/>
  <c r="N979" i="1"/>
  <c r="M979" i="1"/>
  <c r="O978" i="1"/>
  <c r="O978" i="1" a="1"/>
  <c r="N978" i="1"/>
  <c r="M978" i="1"/>
  <c r="O977" i="1"/>
  <c r="O977" i="1" a="1"/>
  <c r="N977" i="1"/>
  <c r="M977" i="1"/>
  <c r="O976" i="1"/>
  <c r="O976" i="1" a="1"/>
  <c r="N976" i="1"/>
  <c r="M976" i="1"/>
  <c r="O975" i="1"/>
  <c r="O975" i="1" a="1"/>
  <c r="N975" i="1"/>
  <c r="M975" i="1"/>
  <c r="O974" i="1"/>
  <c r="O974" i="1" a="1"/>
  <c r="N974" i="1"/>
  <c r="M974" i="1"/>
  <c r="O973" i="1"/>
  <c r="O973" i="1" a="1"/>
  <c r="N973" i="1"/>
  <c r="M973" i="1"/>
  <c r="O972" i="1"/>
  <c r="O972" i="1" a="1"/>
  <c r="N972" i="1"/>
  <c r="M972" i="1"/>
  <c r="O971" i="1"/>
  <c r="O971" i="1" a="1"/>
  <c r="N971" i="1"/>
  <c r="M971" i="1"/>
  <c r="O970" i="1"/>
  <c r="O970" i="1" a="1"/>
  <c r="N970" i="1"/>
  <c r="M970" i="1"/>
  <c r="O969" i="1"/>
  <c r="O969" i="1" a="1"/>
  <c r="N969" i="1"/>
  <c r="M969" i="1"/>
  <c r="O968" i="1"/>
  <c r="O968" i="1" a="1"/>
  <c r="N968" i="1"/>
  <c r="M968" i="1"/>
  <c r="O967" i="1"/>
  <c r="O967" i="1" a="1"/>
  <c r="N967" i="1"/>
  <c r="M967" i="1"/>
  <c r="O966" i="1"/>
  <c r="O966" i="1" a="1"/>
  <c r="N966" i="1"/>
  <c r="M966" i="1"/>
  <c r="O965" i="1"/>
  <c r="O965" i="1" a="1"/>
  <c r="N965" i="1"/>
  <c r="M965" i="1"/>
  <c r="O964" i="1"/>
  <c r="O964" i="1" a="1"/>
  <c r="N964" i="1"/>
  <c r="M964" i="1"/>
  <c r="O963" i="1"/>
  <c r="O963" i="1" a="1"/>
  <c r="N963" i="1"/>
  <c r="M963" i="1"/>
  <c r="O962" i="1"/>
  <c r="O962" i="1" a="1"/>
  <c r="N962" i="1"/>
  <c r="M962" i="1"/>
  <c r="O961" i="1"/>
  <c r="O961" i="1" a="1"/>
  <c r="N961" i="1"/>
  <c r="M961" i="1"/>
  <c r="O960" i="1"/>
  <c r="O960" i="1" a="1"/>
  <c r="N960" i="1"/>
  <c r="M960" i="1"/>
  <c r="O959" i="1"/>
  <c r="O959" i="1" a="1"/>
  <c r="N959" i="1"/>
  <c r="M959" i="1"/>
  <c r="O958" i="1"/>
  <c r="O958" i="1" a="1"/>
  <c r="N958" i="1"/>
  <c r="M958" i="1"/>
  <c r="O957" i="1"/>
  <c r="O957" i="1" a="1"/>
  <c r="N957" i="1"/>
  <c r="M957" i="1"/>
  <c r="O956" i="1"/>
  <c r="O956" i="1" a="1"/>
  <c r="N956" i="1"/>
  <c r="M956" i="1"/>
  <c r="O955" i="1"/>
  <c r="O955" i="1" a="1"/>
  <c r="N955" i="1"/>
  <c r="M955" i="1"/>
  <c r="O954" i="1"/>
  <c r="O954" i="1" a="1"/>
  <c r="N954" i="1"/>
  <c r="M954" i="1"/>
  <c r="O953" i="1"/>
  <c r="O953" i="1" a="1"/>
  <c r="N953" i="1"/>
  <c r="M953" i="1"/>
  <c r="O952" i="1"/>
  <c r="O952" i="1" a="1"/>
  <c r="N952" i="1"/>
  <c r="M952" i="1"/>
  <c r="O951" i="1"/>
  <c r="O951" i="1" a="1"/>
  <c r="N951" i="1"/>
  <c r="M951" i="1"/>
  <c r="O950" i="1"/>
  <c r="O950" i="1" a="1"/>
  <c r="N950" i="1"/>
  <c r="M950" i="1"/>
  <c r="O949" i="1"/>
  <c r="O949" i="1" a="1"/>
  <c r="N949" i="1"/>
  <c r="M949" i="1"/>
  <c r="O948" i="1"/>
  <c r="O948" i="1" a="1"/>
  <c r="N948" i="1"/>
  <c r="M948" i="1"/>
  <c r="O947" i="1"/>
  <c r="O947" i="1" a="1"/>
  <c r="N947" i="1"/>
  <c r="M947" i="1"/>
  <c r="O946" i="1"/>
  <c r="O946" i="1" a="1"/>
  <c r="N946" i="1"/>
  <c r="M946" i="1"/>
  <c r="O945" i="1"/>
  <c r="O945" i="1" a="1"/>
  <c r="N945" i="1"/>
  <c r="M945" i="1"/>
  <c r="O944" i="1"/>
  <c r="O944" i="1" a="1"/>
  <c r="N944" i="1"/>
  <c r="M944" i="1"/>
  <c r="O943" i="1"/>
  <c r="O943" i="1" a="1"/>
  <c r="N943" i="1"/>
  <c r="M943" i="1"/>
  <c r="O942" i="1"/>
  <c r="O942" i="1" a="1"/>
  <c r="N942" i="1"/>
  <c r="M942" i="1"/>
  <c r="O941" i="1"/>
  <c r="O941" i="1" a="1"/>
  <c r="N941" i="1"/>
  <c r="M941" i="1"/>
  <c r="O940" i="1"/>
  <c r="O940" i="1" a="1"/>
  <c r="N940" i="1"/>
  <c r="M940" i="1"/>
  <c r="O939" i="1"/>
  <c r="O939" i="1" a="1"/>
  <c r="N939" i="1"/>
  <c r="M939" i="1"/>
  <c r="O938" i="1"/>
  <c r="O938" i="1" a="1"/>
  <c r="N938" i="1"/>
  <c r="M938" i="1"/>
  <c r="O937" i="1"/>
  <c r="O937" i="1" a="1"/>
  <c r="N937" i="1"/>
  <c r="M937" i="1"/>
  <c r="O936" i="1"/>
  <c r="O936" i="1" a="1"/>
  <c r="N936" i="1"/>
  <c r="M936" i="1"/>
  <c r="O935" i="1"/>
  <c r="O935" i="1" a="1"/>
  <c r="N935" i="1"/>
  <c r="M935" i="1"/>
  <c r="O934" i="1"/>
  <c r="O934" i="1" a="1"/>
  <c r="N934" i="1"/>
  <c r="M934" i="1"/>
  <c r="O933" i="1"/>
  <c r="O933" i="1" a="1"/>
  <c r="N933" i="1"/>
  <c r="M933" i="1"/>
  <c r="O932" i="1"/>
  <c r="O932" i="1" a="1"/>
  <c r="N932" i="1"/>
  <c r="M932" i="1"/>
  <c r="O931" i="1"/>
  <c r="O931" i="1" a="1"/>
  <c r="N931" i="1"/>
  <c r="M931" i="1"/>
  <c r="O930" i="1"/>
  <c r="O930" i="1" a="1"/>
  <c r="N930" i="1"/>
  <c r="M930" i="1"/>
  <c r="O929" i="1"/>
  <c r="O929" i="1" a="1"/>
  <c r="N929" i="1"/>
  <c r="M929" i="1"/>
  <c r="O928" i="1"/>
  <c r="O928" i="1" a="1"/>
  <c r="N928" i="1"/>
  <c r="M928" i="1"/>
  <c r="O927" i="1"/>
  <c r="O927" i="1" a="1"/>
  <c r="N927" i="1"/>
  <c r="M927" i="1"/>
  <c r="O926" i="1"/>
  <c r="O926" i="1" a="1"/>
  <c r="N926" i="1"/>
  <c r="M926" i="1"/>
  <c r="O925" i="1"/>
  <c r="O925" i="1" a="1"/>
  <c r="N925" i="1"/>
  <c r="M925" i="1"/>
  <c r="O924" i="1"/>
  <c r="O924" i="1" a="1"/>
  <c r="N924" i="1"/>
  <c r="M924" i="1"/>
  <c r="O923" i="1"/>
  <c r="O923" i="1" a="1"/>
  <c r="N923" i="1"/>
  <c r="M923" i="1"/>
  <c r="O922" i="1"/>
  <c r="O922" i="1" a="1"/>
  <c r="N922" i="1"/>
  <c r="M922" i="1"/>
  <c r="O921" i="1"/>
  <c r="O921" i="1" a="1"/>
  <c r="N921" i="1"/>
  <c r="M921" i="1"/>
  <c r="O920" i="1"/>
  <c r="O920" i="1" a="1"/>
  <c r="N920" i="1"/>
  <c r="M920" i="1"/>
  <c r="O919" i="1"/>
  <c r="O919" i="1" a="1"/>
  <c r="N919" i="1"/>
  <c r="M919" i="1"/>
  <c r="O918" i="1"/>
  <c r="O918" i="1" a="1"/>
  <c r="N918" i="1"/>
  <c r="M918" i="1"/>
  <c r="O917" i="1"/>
  <c r="O917" i="1" a="1"/>
  <c r="N917" i="1"/>
  <c r="M917" i="1"/>
  <c r="O916" i="1"/>
  <c r="O916" i="1" a="1"/>
  <c r="N916" i="1"/>
  <c r="M916" i="1"/>
  <c r="O915" i="1"/>
  <c r="O915" i="1" a="1"/>
  <c r="N915" i="1"/>
  <c r="M915" i="1"/>
  <c r="O914" i="1"/>
  <c r="O914" i="1" a="1"/>
  <c r="N914" i="1"/>
  <c r="M914" i="1"/>
  <c r="O913" i="1"/>
  <c r="O913" i="1" a="1"/>
  <c r="N913" i="1"/>
  <c r="M913" i="1"/>
  <c r="O912" i="1"/>
  <c r="O912" i="1" a="1"/>
  <c r="N912" i="1"/>
  <c r="M912" i="1"/>
  <c r="O911" i="1"/>
  <c r="O911" i="1" a="1"/>
  <c r="N911" i="1"/>
  <c r="M911" i="1"/>
  <c r="O910" i="1"/>
  <c r="O910" i="1" a="1"/>
  <c r="N910" i="1"/>
  <c r="M910" i="1"/>
  <c r="O909" i="1"/>
  <c r="O909" i="1" a="1"/>
  <c r="N909" i="1"/>
  <c r="M909" i="1"/>
  <c r="O908" i="1"/>
  <c r="O908" i="1" a="1"/>
  <c r="N908" i="1"/>
  <c r="M908" i="1"/>
  <c r="O907" i="1"/>
  <c r="O907" i="1" a="1"/>
  <c r="N907" i="1"/>
  <c r="M907" i="1"/>
  <c r="O906" i="1"/>
  <c r="O906" i="1" a="1"/>
  <c r="N906" i="1"/>
  <c r="M906" i="1"/>
  <c r="O905" i="1"/>
  <c r="O905" i="1" a="1"/>
  <c r="N905" i="1"/>
  <c r="M905" i="1"/>
  <c r="O904" i="1"/>
  <c r="O904" i="1" a="1"/>
  <c r="N904" i="1"/>
  <c r="M904" i="1"/>
  <c r="O903" i="1"/>
  <c r="O903" i="1" a="1"/>
  <c r="N903" i="1"/>
  <c r="M903" i="1"/>
  <c r="O902" i="1"/>
  <c r="O902" i="1" a="1"/>
  <c r="N902" i="1"/>
  <c r="M902" i="1"/>
  <c r="O901" i="1"/>
  <c r="O901" i="1" a="1"/>
  <c r="N901" i="1"/>
  <c r="M901" i="1"/>
  <c r="O900" i="1"/>
  <c r="O900" i="1" a="1"/>
  <c r="N900" i="1"/>
  <c r="M900" i="1"/>
  <c r="O899" i="1"/>
  <c r="O899" i="1" a="1"/>
  <c r="N899" i="1"/>
  <c r="M899" i="1"/>
  <c r="O898" i="1"/>
  <c r="O898" i="1" a="1"/>
  <c r="N898" i="1"/>
  <c r="M898" i="1"/>
  <c r="O897" i="1"/>
  <c r="O897" i="1" a="1"/>
  <c r="N897" i="1"/>
  <c r="M897" i="1"/>
  <c r="O896" i="1"/>
  <c r="O896" i="1" a="1"/>
  <c r="N896" i="1"/>
  <c r="M896" i="1"/>
  <c r="O895" i="1"/>
  <c r="O895" i="1" a="1"/>
  <c r="N895" i="1"/>
  <c r="M895" i="1"/>
  <c r="O894" i="1"/>
  <c r="O894" i="1" a="1"/>
  <c r="N894" i="1"/>
  <c r="M894" i="1"/>
  <c r="O893" i="1"/>
  <c r="O893" i="1" a="1"/>
  <c r="N893" i="1"/>
  <c r="M893" i="1"/>
  <c r="O892" i="1"/>
  <c r="O892" i="1" a="1"/>
  <c r="N892" i="1"/>
  <c r="M892" i="1"/>
  <c r="O891" i="1"/>
  <c r="O891" i="1" a="1"/>
  <c r="N891" i="1"/>
  <c r="M891" i="1"/>
  <c r="O890" i="1"/>
  <c r="O890" i="1" a="1"/>
  <c r="N890" i="1"/>
  <c r="M890" i="1"/>
  <c r="O889" i="1"/>
  <c r="O889" i="1" a="1"/>
  <c r="N889" i="1"/>
  <c r="M889" i="1"/>
  <c r="O888" i="1"/>
  <c r="O888" i="1" a="1"/>
  <c r="N888" i="1"/>
  <c r="M888" i="1"/>
  <c r="O887" i="1"/>
  <c r="O887" i="1" a="1"/>
  <c r="N887" i="1"/>
  <c r="M887" i="1"/>
  <c r="O886" i="1"/>
  <c r="O886" i="1" a="1"/>
  <c r="N886" i="1"/>
  <c r="M886" i="1"/>
  <c r="O885" i="1"/>
  <c r="O885" i="1" a="1"/>
  <c r="N885" i="1"/>
  <c r="M885" i="1"/>
  <c r="O884" i="1"/>
  <c r="O884" i="1" a="1"/>
  <c r="N884" i="1"/>
  <c r="M884" i="1"/>
  <c r="O883" i="1"/>
  <c r="O883" i="1" a="1"/>
  <c r="N883" i="1"/>
  <c r="M883" i="1"/>
  <c r="O882" i="1"/>
  <c r="O882" i="1" a="1"/>
  <c r="N882" i="1"/>
  <c r="M882" i="1"/>
  <c r="O881" i="1"/>
  <c r="O881" i="1" a="1"/>
  <c r="N881" i="1"/>
  <c r="M881" i="1"/>
  <c r="O880" i="1"/>
  <c r="O880" i="1" a="1"/>
  <c r="N880" i="1"/>
  <c r="M880" i="1"/>
  <c r="O879" i="1"/>
  <c r="O879" i="1" a="1"/>
  <c r="N879" i="1"/>
  <c r="M879" i="1"/>
  <c r="O878" i="1"/>
  <c r="O878" i="1" a="1"/>
  <c r="N878" i="1"/>
  <c r="M878" i="1"/>
  <c r="O877" i="1"/>
  <c r="O877" i="1" a="1"/>
  <c r="N877" i="1"/>
  <c r="M877" i="1"/>
  <c r="O876" i="1"/>
  <c r="O876" i="1" a="1"/>
  <c r="N876" i="1"/>
  <c r="M876" i="1"/>
  <c r="O875" i="1"/>
  <c r="O875" i="1" a="1"/>
  <c r="N875" i="1"/>
  <c r="M875" i="1"/>
  <c r="O874" i="1"/>
  <c r="O874" i="1" a="1"/>
  <c r="N874" i="1"/>
  <c r="M874" i="1"/>
  <c r="O873" i="1"/>
  <c r="O873" i="1" a="1"/>
  <c r="N873" i="1"/>
  <c r="M873" i="1"/>
  <c r="O872" i="1"/>
  <c r="O872" i="1" a="1"/>
  <c r="N872" i="1"/>
  <c r="M872" i="1"/>
  <c r="O871" i="1"/>
  <c r="O871" i="1" a="1"/>
  <c r="N871" i="1"/>
  <c r="M871" i="1"/>
  <c r="O870" i="1"/>
  <c r="O870" i="1" a="1"/>
  <c r="N870" i="1"/>
  <c r="M870" i="1"/>
  <c r="O869" i="1"/>
  <c r="O869" i="1" a="1"/>
  <c r="N869" i="1"/>
  <c r="M869" i="1"/>
  <c r="O868" i="1"/>
  <c r="O868" i="1" a="1"/>
  <c r="N868" i="1"/>
  <c r="M868" i="1"/>
  <c r="O867" i="1"/>
  <c r="O867" i="1" a="1"/>
  <c r="N867" i="1"/>
  <c r="M867" i="1"/>
  <c r="O866" i="1"/>
  <c r="O866" i="1" a="1"/>
  <c r="N866" i="1"/>
  <c r="M866" i="1"/>
  <c r="O865" i="1"/>
  <c r="O865" i="1" a="1"/>
  <c r="N865" i="1"/>
  <c r="M865" i="1"/>
  <c r="O864" i="1"/>
  <c r="O864" i="1" a="1"/>
  <c r="N864" i="1"/>
  <c r="M864" i="1"/>
  <c r="O863" i="1"/>
  <c r="O863" i="1" a="1"/>
  <c r="N863" i="1"/>
  <c r="M863" i="1"/>
  <c r="O862" i="1"/>
  <c r="O862" i="1" a="1"/>
  <c r="N862" i="1"/>
  <c r="M862" i="1"/>
  <c r="O861" i="1"/>
  <c r="O861" i="1" a="1"/>
  <c r="N861" i="1"/>
  <c r="M861" i="1"/>
  <c r="O860" i="1"/>
  <c r="O860" i="1" a="1"/>
  <c r="N860" i="1"/>
  <c r="M860" i="1"/>
  <c r="O859" i="1"/>
  <c r="O859" i="1" a="1"/>
  <c r="N859" i="1"/>
  <c r="M859" i="1"/>
  <c r="O858" i="1"/>
  <c r="O858" i="1" a="1"/>
  <c r="N858" i="1"/>
  <c r="M858" i="1"/>
  <c r="O857" i="1"/>
  <c r="O857" i="1" a="1"/>
  <c r="N857" i="1"/>
  <c r="M857" i="1"/>
  <c r="O856" i="1"/>
  <c r="O856" i="1" a="1"/>
  <c r="N856" i="1"/>
  <c r="M856" i="1"/>
  <c r="O855" i="1"/>
  <c r="O855" i="1" a="1"/>
  <c r="N855" i="1"/>
  <c r="M855" i="1"/>
  <c r="O854" i="1"/>
  <c r="O854" i="1" a="1"/>
  <c r="N854" i="1"/>
  <c r="M854" i="1"/>
  <c r="O853" i="1"/>
  <c r="O853" i="1" a="1"/>
  <c r="N853" i="1"/>
  <c r="M853" i="1"/>
  <c r="O852" i="1"/>
  <c r="O852" i="1" a="1"/>
  <c r="N852" i="1"/>
  <c r="M852" i="1"/>
  <c r="O851" i="1"/>
  <c r="O851" i="1" a="1"/>
  <c r="N851" i="1"/>
  <c r="M851" i="1"/>
  <c r="O850" i="1"/>
  <c r="O850" i="1" a="1"/>
  <c r="N850" i="1"/>
  <c r="M850" i="1"/>
  <c r="O849" i="1"/>
  <c r="O849" i="1" a="1"/>
  <c r="N849" i="1"/>
  <c r="M849" i="1"/>
  <c r="O848" i="1"/>
  <c r="O848" i="1" a="1"/>
  <c r="N848" i="1"/>
  <c r="M848" i="1"/>
  <c r="O847" i="1"/>
  <c r="O847" i="1" a="1"/>
  <c r="N847" i="1"/>
  <c r="M847" i="1"/>
  <c r="O846" i="1"/>
  <c r="O846" i="1" a="1"/>
  <c r="N846" i="1"/>
  <c r="M846" i="1"/>
  <c r="O845" i="1"/>
  <c r="O845" i="1" a="1"/>
  <c r="N845" i="1"/>
  <c r="M845" i="1"/>
  <c r="O844" i="1"/>
  <c r="O844" i="1" a="1"/>
  <c r="N844" i="1"/>
  <c r="M844" i="1"/>
  <c r="O843" i="1"/>
  <c r="O843" i="1" a="1"/>
  <c r="N843" i="1"/>
  <c r="M843" i="1"/>
  <c r="O842" i="1"/>
  <c r="O842" i="1" a="1"/>
  <c r="N842" i="1"/>
  <c r="M842" i="1"/>
  <c r="O841" i="1"/>
  <c r="O841" i="1" a="1"/>
  <c r="N841" i="1"/>
  <c r="M841" i="1"/>
  <c r="O840" i="1"/>
  <c r="O840" i="1" a="1"/>
  <c r="N840" i="1"/>
  <c r="M840" i="1"/>
  <c r="O839" i="1"/>
  <c r="O839" i="1" a="1"/>
  <c r="N839" i="1"/>
  <c r="M839" i="1"/>
  <c r="O838" i="1"/>
  <c r="O838" i="1" a="1"/>
  <c r="N838" i="1"/>
  <c r="M838" i="1"/>
  <c r="O837" i="1"/>
  <c r="O837" i="1" a="1"/>
  <c r="N837" i="1"/>
  <c r="M837" i="1"/>
  <c r="O836" i="1"/>
  <c r="O836" i="1" a="1"/>
  <c r="N836" i="1"/>
  <c r="M836" i="1"/>
  <c r="O835" i="1"/>
  <c r="O835" i="1" a="1"/>
  <c r="N835" i="1"/>
  <c r="M835" i="1"/>
  <c r="O834" i="1"/>
  <c r="O834" i="1" a="1"/>
  <c r="N834" i="1"/>
  <c r="M834" i="1"/>
  <c r="O833" i="1"/>
  <c r="O833" i="1" a="1"/>
  <c r="N833" i="1"/>
  <c r="M833" i="1"/>
  <c r="O832" i="1"/>
  <c r="O832" i="1" a="1"/>
  <c r="N832" i="1"/>
  <c r="M832" i="1"/>
  <c r="O831" i="1"/>
  <c r="O831" i="1" a="1"/>
  <c r="N831" i="1"/>
  <c r="M831" i="1"/>
  <c r="O830" i="1"/>
  <c r="O830" i="1" a="1"/>
  <c r="N830" i="1"/>
  <c r="M830" i="1"/>
  <c r="O829" i="1"/>
  <c r="O829" i="1" a="1"/>
  <c r="N829" i="1"/>
  <c r="M829" i="1"/>
  <c r="O828" i="1"/>
  <c r="O828" i="1" a="1"/>
  <c r="N828" i="1"/>
  <c r="M828" i="1"/>
  <c r="O827" i="1"/>
  <c r="O827" i="1" a="1"/>
  <c r="N827" i="1"/>
  <c r="M827" i="1"/>
  <c r="O826" i="1"/>
  <c r="O826" i="1" a="1"/>
  <c r="N826" i="1"/>
  <c r="M826" i="1"/>
  <c r="O825" i="1"/>
  <c r="O825" i="1" a="1"/>
  <c r="N825" i="1"/>
  <c r="M825" i="1"/>
  <c r="O824" i="1"/>
  <c r="O824" i="1" a="1"/>
  <c r="N824" i="1"/>
  <c r="M824" i="1"/>
  <c r="O823" i="1"/>
  <c r="O823" i="1" a="1"/>
  <c r="N823" i="1"/>
  <c r="M823" i="1"/>
  <c r="O822" i="1"/>
  <c r="O822" i="1" a="1"/>
  <c r="N822" i="1"/>
  <c r="M822" i="1"/>
  <c r="O821" i="1"/>
  <c r="O821" i="1" a="1"/>
  <c r="N821" i="1"/>
  <c r="M821" i="1"/>
  <c r="O820" i="1"/>
  <c r="O820" i="1" a="1"/>
  <c r="N820" i="1"/>
  <c r="M820" i="1"/>
  <c r="O819" i="1"/>
  <c r="O819" i="1" a="1"/>
  <c r="N819" i="1"/>
  <c r="M819" i="1"/>
  <c r="O818" i="1"/>
  <c r="O818" i="1" a="1"/>
  <c r="N818" i="1"/>
  <c r="M818" i="1"/>
  <c r="O817" i="1"/>
  <c r="O817" i="1" a="1"/>
  <c r="N817" i="1"/>
  <c r="M817" i="1"/>
  <c r="O816" i="1"/>
  <c r="O816" i="1" a="1"/>
  <c r="N816" i="1"/>
  <c r="M816" i="1"/>
  <c r="O815" i="1"/>
  <c r="O815" i="1" a="1"/>
  <c r="N815" i="1"/>
  <c r="M815" i="1"/>
  <c r="O814" i="1"/>
  <c r="O814" i="1" a="1"/>
  <c r="N814" i="1"/>
  <c r="M814" i="1"/>
  <c r="O813" i="1"/>
  <c r="O813" i="1" a="1"/>
  <c r="N813" i="1"/>
  <c r="M813" i="1"/>
  <c r="O812" i="1"/>
  <c r="O812" i="1" a="1"/>
  <c r="N812" i="1"/>
  <c r="M812" i="1"/>
  <c r="O811" i="1"/>
  <c r="O811" i="1" a="1"/>
  <c r="N811" i="1"/>
  <c r="M811" i="1"/>
  <c r="O810" i="1"/>
  <c r="O810" i="1" a="1"/>
  <c r="N810" i="1"/>
  <c r="M810" i="1"/>
  <c r="O809" i="1"/>
  <c r="O809" i="1" a="1"/>
  <c r="N809" i="1"/>
  <c r="M809" i="1"/>
  <c r="O808" i="1"/>
  <c r="O808" i="1" a="1"/>
  <c r="N808" i="1"/>
  <c r="M808" i="1"/>
  <c r="O807" i="1"/>
  <c r="O807" i="1" a="1"/>
  <c r="N807" i="1"/>
  <c r="M807" i="1"/>
  <c r="O806" i="1"/>
  <c r="O806" i="1" a="1"/>
  <c r="N806" i="1"/>
  <c r="M806" i="1"/>
  <c r="O805" i="1"/>
  <c r="O805" i="1" a="1"/>
  <c r="N805" i="1"/>
  <c r="M805" i="1"/>
  <c r="O804" i="1"/>
  <c r="O804" i="1" a="1"/>
  <c r="N804" i="1"/>
  <c r="M804" i="1"/>
  <c r="O803" i="1"/>
  <c r="O803" i="1" a="1"/>
  <c r="N803" i="1"/>
  <c r="M803" i="1"/>
  <c r="O802" i="1"/>
  <c r="O802" i="1" a="1"/>
  <c r="N802" i="1"/>
  <c r="M802" i="1"/>
  <c r="O801" i="1"/>
  <c r="O801" i="1" a="1"/>
  <c r="N801" i="1"/>
  <c r="M801" i="1"/>
  <c r="O800" i="1"/>
  <c r="O800" i="1" a="1"/>
  <c r="N800" i="1"/>
  <c r="M800" i="1"/>
  <c r="O799" i="1"/>
  <c r="O799" i="1" a="1"/>
  <c r="N799" i="1"/>
  <c r="M799" i="1"/>
  <c r="O798" i="1"/>
  <c r="O798" i="1" a="1"/>
  <c r="N798" i="1"/>
  <c r="M798" i="1"/>
  <c r="O797" i="1"/>
  <c r="O797" i="1" a="1"/>
  <c r="N797" i="1"/>
  <c r="M797" i="1"/>
  <c r="O796" i="1"/>
  <c r="O796" i="1" a="1"/>
  <c r="N796" i="1"/>
  <c r="M796" i="1"/>
  <c r="O795" i="1"/>
  <c r="O795" i="1" a="1"/>
  <c r="N795" i="1"/>
  <c r="M795" i="1"/>
  <c r="O794" i="1"/>
  <c r="O794" i="1" a="1"/>
  <c r="N794" i="1"/>
  <c r="M794" i="1"/>
  <c r="O793" i="1"/>
  <c r="O793" i="1" a="1"/>
  <c r="N793" i="1"/>
  <c r="M793" i="1"/>
  <c r="O792" i="1"/>
  <c r="O792" i="1" a="1"/>
  <c r="N792" i="1"/>
  <c r="M792" i="1"/>
  <c r="O791" i="1"/>
  <c r="O791" i="1" a="1"/>
  <c r="N791" i="1"/>
  <c r="M791" i="1"/>
  <c r="O790" i="1"/>
  <c r="O790" i="1" a="1"/>
  <c r="N790" i="1"/>
  <c r="M790" i="1"/>
  <c r="O789" i="1"/>
  <c r="O789" i="1" a="1"/>
  <c r="N789" i="1"/>
  <c r="M789" i="1"/>
  <c r="O788" i="1"/>
  <c r="O788" i="1" a="1"/>
  <c r="N788" i="1"/>
  <c r="M788" i="1"/>
  <c r="O787" i="1"/>
  <c r="O787" i="1" a="1"/>
  <c r="N787" i="1"/>
  <c r="M787" i="1"/>
  <c r="O786" i="1"/>
  <c r="O786" i="1" a="1"/>
  <c r="N786" i="1"/>
  <c r="M786" i="1"/>
  <c r="O785" i="1"/>
  <c r="O785" i="1" a="1"/>
  <c r="N785" i="1"/>
  <c r="M785" i="1"/>
  <c r="O784" i="1"/>
  <c r="O784" i="1" a="1"/>
  <c r="N784" i="1"/>
  <c r="M784" i="1"/>
  <c r="O783" i="1"/>
  <c r="O783" i="1" a="1"/>
  <c r="N783" i="1"/>
  <c r="M783" i="1"/>
  <c r="O782" i="1"/>
  <c r="O782" i="1" a="1"/>
  <c r="N782" i="1"/>
  <c r="M782" i="1"/>
  <c r="O781" i="1"/>
  <c r="O781" i="1" a="1"/>
  <c r="N781" i="1"/>
  <c r="M781" i="1"/>
  <c r="O780" i="1"/>
  <c r="O780" i="1" a="1"/>
  <c r="N780" i="1"/>
  <c r="M780" i="1"/>
  <c r="O779" i="1"/>
  <c r="O779" i="1" a="1"/>
  <c r="N779" i="1"/>
  <c r="M779" i="1"/>
  <c r="O778" i="1"/>
  <c r="O778" i="1" a="1"/>
  <c r="N778" i="1"/>
  <c r="M778" i="1"/>
  <c r="O777" i="1"/>
  <c r="O777" i="1" a="1"/>
  <c r="N777" i="1"/>
  <c r="M777" i="1"/>
  <c r="O776" i="1"/>
  <c r="O776" i="1" a="1"/>
  <c r="N776" i="1"/>
  <c r="M776" i="1"/>
  <c r="O775" i="1"/>
  <c r="O775" i="1" a="1"/>
  <c r="N775" i="1"/>
  <c r="M775" i="1"/>
  <c r="O774" i="1"/>
  <c r="O774" i="1" a="1"/>
  <c r="N774" i="1"/>
  <c r="M774" i="1"/>
  <c r="O773" i="1"/>
  <c r="O773" i="1" a="1"/>
  <c r="N773" i="1"/>
  <c r="M773" i="1"/>
  <c r="O772" i="1"/>
  <c r="O772" i="1" a="1"/>
  <c r="N772" i="1"/>
  <c r="M772" i="1"/>
  <c r="O771" i="1"/>
  <c r="O771" i="1" a="1"/>
  <c r="N771" i="1"/>
  <c r="M771" i="1"/>
  <c r="O770" i="1"/>
  <c r="O770" i="1" a="1"/>
  <c r="N770" i="1"/>
  <c r="M770" i="1"/>
  <c r="O769" i="1"/>
  <c r="O769" i="1" a="1"/>
  <c r="N769" i="1"/>
  <c r="M769" i="1"/>
  <c r="O768" i="1"/>
  <c r="O768" i="1" a="1"/>
  <c r="N768" i="1"/>
  <c r="M768" i="1"/>
  <c r="O767" i="1"/>
  <c r="O767" i="1" a="1"/>
  <c r="N767" i="1"/>
  <c r="M767" i="1"/>
  <c r="O766" i="1"/>
  <c r="O766" i="1" a="1"/>
  <c r="N766" i="1"/>
  <c r="M766" i="1"/>
  <c r="O765" i="1"/>
  <c r="O765" i="1" a="1"/>
  <c r="N765" i="1"/>
  <c r="M765" i="1"/>
  <c r="O764" i="1"/>
  <c r="O764" i="1" a="1"/>
  <c r="N764" i="1"/>
  <c r="M764" i="1"/>
  <c r="O763" i="1"/>
  <c r="O763" i="1" a="1"/>
  <c r="N763" i="1"/>
  <c r="M763" i="1"/>
  <c r="O762" i="1"/>
  <c r="O762" i="1" a="1"/>
  <c r="N762" i="1"/>
  <c r="M762" i="1"/>
  <c r="O761" i="1"/>
  <c r="O761" i="1" a="1"/>
  <c r="N761" i="1"/>
  <c r="M761" i="1"/>
  <c r="O760" i="1"/>
  <c r="O760" i="1" a="1"/>
  <c r="N760" i="1"/>
  <c r="M760" i="1"/>
  <c r="O759" i="1"/>
  <c r="O759" i="1" a="1"/>
  <c r="N759" i="1"/>
  <c r="M759" i="1"/>
  <c r="O758" i="1"/>
  <c r="O758" i="1" a="1"/>
  <c r="N758" i="1"/>
  <c r="M758" i="1"/>
  <c r="O757" i="1"/>
  <c r="O757" i="1" a="1"/>
  <c r="N757" i="1"/>
  <c r="M757" i="1"/>
  <c r="O756" i="1"/>
  <c r="O756" i="1" a="1"/>
  <c r="N756" i="1"/>
  <c r="M756" i="1"/>
  <c r="O755" i="1"/>
  <c r="O755" i="1" a="1"/>
  <c r="N755" i="1"/>
  <c r="M755" i="1"/>
  <c r="O754" i="1"/>
  <c r="O754" i="1" a="1"/>
  <c r="N754" i="1"/>
  <c r="M754" i="1"/>
  <c r="O753" i="1"/>
  <c r="O753" i="1" a="1"/>
  <c r="N753" i="1"/>
  <c r="M753" i="1"/>
  <c r="O752" i="1"/>
  <c r="O752" i="1" a="1"/>
  <c r="N752" i="1"/>
  <c r="M752" i="1"/>
  <c r="O751" i="1"/>
  <c r="O751" i="1" a="1"/>
  <c r="N751" i="1"/>
  <c r="M751" i="1"/>
  <c r="O750" i="1"/>
  <c r="O750" i="1" a="1"/>
  <c r="N750" i="1"/>
  <c r="M750" i="1"/>
  <c r="O749" i="1"/>
  <c r="O749" i="1" a="1"/>
  <c r="N749" i="1"/>
  <c r="M749" i="1"/>
  <c r="O748" i="1"/>
  <c r="O748" i="1" a="1"/>
  <c r="N748" i="1"/>
  <c r="M748" i="1"/>
  <c r="O747" i="1"/>
  <c r="O747" i="1" a="1"/>
  <c r="N747" i="1"/>
  <c r="M747" i="1"/>
  <c r="O746" i="1"/>
  <c r="O746" i="1" a="1"/>
  <c r="N746" i="1"/>
  <c r="M746" i="1"/>
  <c r="O745" i="1"/>
  <c r="O745" i="1" a="1"/>
  <c r="N745" i="1"/>
  <c r="M745" i="1"/>
  <c r="O744" i="1"/>
  <c r="O744" i="1" a="1"/>
  <c r="N744" i="1"/>
  <c r="M744" i="1"/>
  <c r="O743" i="1"/>
  <c r="O743" i="1" a="1"/>
  <c r="N743" i="1"/>
  <c r="M743" i="1"/>
  <c r="O742" i="1"/>
  <c r="O742" i="1" a="1"/>
  <c r="N742" i="1"/>
  <c r="M742" i="1"/>
  <c r="O741" i="1"/>
  <c r="O741" i="1" a="1"/>
  <c r="N741" i="1"/>
  <c r="M741" i="1"/>
  <c r="O740" i="1"/>
  <c r="O740" i="1" a="1"/>
  <c r="N740" i="1"/>
  <c r="M740" i="1"/>
  <c r="O739" i="1"/>
  <c r="O739" i="1" a="1"/>
  <c r="N739" i="1"/>
  <c r="M739" i="1"/>
  <c r="O738" i="1"/>
  <c r="O738" i="1" a="1"/>
  <c r="N738" i="1"/>
  <c r="M738" i="1"/>
  <c r="O737" i="1"/>
  <c r="O737" i="1" a="1"/>
  <c r="N737" i="1"/>
  <c r="M737" i="1"/>
  <c r="O736" i="1"/>
  <c r="O736" i="1" a="1"/>
  <c r="N736" i="1"/>
  <c r="M736" i="1"/>
  <c r="O735" i="1"/>
  <c r="O735" i="1" a="1"/>
  <c r="N735" i="1"/>
  <c r="M735" i="1"/>
  <c r="O734" i="1"/>
  <c r="O734" i="1" a="1"/>
  <c r="N734" i="1"/>
  <c r="M734" i="1"/>
  <c r="O733" i="1"/>
  <c r="O733" i="1" a="1"/>
  <c r="N733" i="1"/>
  <c r="M733" i="1"/>
  <c r="O732" i="1"/>
  <c r="O732" i="1" a="1"/>
  <c r="N732" i="1"/>
  <c r="M732" i="1"/>
  <c r="O731" i="1"/>
  <c r="O731" i="1" a="1"/>
  <c r="N731" i="1"/>
  <c r="M731" i="1"/>
  <c r="O730" i="1"/>
  <c r="O730" i="1" a="1"/>
  <c r="N730" i="1"/>
  <c r="M730" i="1"/>
  <c r="O729" i="1"/>
  <c r="O729" i="1" a="1"/>
  <c r="N729" i="1"/>
  <c r="M729" i="1"/>
  <c r="O728" i="1"/>
  <c r="O728" i="1" a="1"/>
  <c r="N728" i="1"/>
  <c r="M728" i="1"/>
  <c r="O727" i="1"/>
  <c r="O727" i="1" a="1"/>
  <c r="N727" i="1"/>
  <c r="M727" i="1"/>
  <c r="O726" i="1"/>
  <c r="O726" i="1" a="1"/>
  <c r="N726" i="1"/>
  <c r="M726" i="1"/>
  <c r="O725" i="1"/>
  <c r="O725" i="1" a="1"/>
  <c r="N725" i="1"/>
  <c r="M725" i="1"/>
  <c r="O724" i="1"/>
  <c r="O724" i="1" a="1"/>
  <c r="N724" i="1"/>
  <c r="M724" i="1"/>
  <c r="O723" i="1"/>
  <c r="O723" i="1" a="1"/>
  <c r="N723" i="1"/>
  <c r="M723" i="1"/>
  <c r="O722" i="1"/>
  <c r="O722" i="1" a="1"/>
  <c r="N722" i="1"/>
  <c r="M722" i="1"/>
  <c r="O721" i="1"/>
  <c r="O721" i="1" a="1"/>
  <c r="N721" i="1"/>
  <c r="M721" i="1"/>
  <c r="O720" i="1"/>
  <c r="O720" i="1" a="1"/>
  <c r="N720" i="1"/>
  <c r="M720" i="1"/>
  <c r="O719" i="1"/>
  <c r="O719" i="1" a="1"/>
  <c r="N719" i="1"/>
  <c r="M719" i="1"/>
  <c r="O718" i="1"/>
  <c r="O718" i="1" a="1"/>
  <c r="N718" i="1"/>
  <c r="M718" i="1"/>
  <c r="O717" i="1"/>
  <c r="O717" i="1" a="1"/>
  <c r="N717" i="1"/>
  <c r="M717" i="1"/>
  <c r="O716" i="1"/>
  <c r="O716" i="1" a="1"/>
  <c r="N716" i="1"/>
  <c r="M716" i="1"/>
  <c r="O715" i="1"/>
  <c r="O715" i="1" a="1"/>
  <c r="N715" i="1"/>
  <c r="M715" i="1"/>
  <c r="O714" i="1"/>
  <c r="O714" i="1" a="1"/>
  <c r="N714" i="1"/>
  <c r="M714" i="1"/>
  <c r="O713" i="1"/>
  <c r="O713" i="1" a="1"/>
  <c r="N713" i="1"/>
  <c r="M713" i="1"/>
  <c r="O712" i="1"/>
  <c r="O712" i="1" a="1"/>
  <c r="N712" i="1"/>
  <c r="M712" i="1"/>
  <c r="O711" i="1"/>
  <c r="O711" i="1" a="1"/>
  <c r="N711" i="1"/>
  <c r="M711" i="1"/>
  <c r="O710" i="1"/>
  <c r="O710" i="1" a="1"/>
  <c r="N710" i="1"/>
  <c r="M710" i="1"/>
  <c r="O709" i="1"/>
  <c r="O709" i="1" a="1"/>
  <c r="N709" i="1"/>
  <c r="M709" i="1"/>
  <c r="O708" i="1"/>
  <c r="O708" i="1" a="1"/>
  <c r="N708" i="1"/>
  <c r="M708" i="1"/>
  <c r="O707" i="1"/>
  <c r="O707" i="1" a="1"/>
  <c r="N707" i="1"/>
  <c r="M707" i="1"/>
  <c r="O706" i="1"/>
  <c r="O706" i="1" a="1"/>
  <c r="N706" i="1"/>
  <c r="M706" i="1"/>
  <c r="O705" i="1"/>
  <c r="O705" i="1" a="1"/>
  <c r="N705" i="1"/>
  <c r="M705" i="1"/>
  <c r="O704" i="1"/>
  <c r="O704" i="1" a="1"/>
  <c r="N704" i="1"/>
  <c r="M704" i="1"/>
  <c r="O703" i="1"/>
  <c r="O703" i="1" a="1"/>
  <c r="N703" i="1"/>
  <c r="M703" i="1"/>
  <c r="O702" i="1"/>
  <c r="O702" i="1" a="1"/>
  <c r="N702" i="1"/>
  <c r="M702" i="1"/>
  <c r="O701" i="1"/>
  <c r="O701" i="1" a="1"/>
  <c r="N701" i="1"/>
  <c r="M701" i="1"/>
  <c r="O700" i="1"/>
  <c r="O700" i="1" a="1"/>
  <c r="N700" i="1"/>
  <c r="M700" i="1"/>
  <c r="O699" i="1"/>
  <c r="O699" i="1" a="1"/>
  <c r="N699" i="1"/>
  <c r="M699" i="1"/>
  <c r="O698" i="1"/>
  <c r="O698" i="1" a="1"/>
  <c r="N698" i="1"/>
  <c r="M698" i="1"/>
  <c r="O697" i="1"/>
  <c r="O697" i="1" a="1"/>
  <c r="N697" i="1"/>
  <c r="M697" i="1"/>
  <c r="O696" i="1"/>
  <c r="O696" i="1" a="1"/>
  <c r="N696" i="1"/>
  <c r="M696" i="1"/>
  <c r="O695" i="1"/>
  <c r="O695" i="1" a="1"/>
  <c r="N695" i="1"/>
  <c r="M695" i="1"/>
  <c r="O694" i="1"/>
  <c r="O694" i="1" a="1"/>
  <c r="N694" i="1"/>
  <c r="M694" i="1"/>
  <c r="O693" i="1"/>
  <c r="O693" i="1" a="1"/>
  <c r="N693" i="1"/>
  <c r="M693" i="1"/>
  <c r="O692" i="1"/>
  <c r="O692" i="1" a="1"/>
  <c r="N692" i="1"/>
  <c r="M692" i="1"/>
  <c r="O691" i="1"/>
  <c r="O691" i="1" a="1"/>
  <c r="N691" i="1"/>
  <c r="M691" i="1"/>
  <c r="O690" i="1"/>
  <c r="O690" i="1" a="1"/>
  <c r="N690" i="1"/>
  <c r="M690" i="1"/>
  <c r="O689" i="1"/>
  <c r="O689" i="1" a="1"/>
  <c r="N689" i="1"/>
  <c r="M689" i="1"/>
  <c r="O688" i="1"/>
  <c r="O688" i="1" a="1"/>
  <c r="N688" i="1"/>
  <c r="M688" i="1"/>
  <c r="O687" i="1"/>
  <c r="O687" i="1" a="1"/>
  <c r="N687" i="1"/>
  <c r="M687" i="1"/>
  <c r="O686" i="1"/>
  <c r="O686" i="1" a="1"/>
  <c r="N686" i="1"/>
  <c r="M686" i="1"/>
  <c r="O685" i="1"/>
  <c r="O685" i="1" a="1"/>
  <c r="N685" i="1"/>
  <c r="M685" i="1"/>
  <c r="O684" i="1"/>
  <c r="O684" i="1" a="1"/>
  <c r="N684" i="1"/>
  <c r="M684" i="1"/>
  <c r="O683" i="1"/>
  <c r="O683" i="1" a="1"/>
  <c r="N683" i="1"/>
  <c r="M683" i="1"/>
  <c r="O682" i="1"/>
  <c r="O682" i="1" a="1"/>
  <c r="N682" i="1"/>
  <c r="M682" i="1"/>
  <c r="O681" i="1"/>
  <c r="O681" i="1" a="1"/>
  <c r="N681" i="1"/>
  <c r="M681" i="1"/>
  <c r="O680" i="1"/>
  <c r="O680" i="1" a="1"/>
  <c r="N680" i="1"/>
  <c r="M680" i="1"/>
  <c r="O679" i="1"/>
  <c r="O679" i="1" a="1"/>
  <c r="N679" i="1"/>
  <c r="M679" i="1"/>
  <c r="O678" i="1"/>
  <c r="O678" i="1" a="1"/>
  <c r="N678" i="1"/>
  <c r="M678" i="1"/>
  <c r="O677" i="1"/>
  <c r="O677" i="1" a="1"/>
  <c r="N677" i="1"/>
  <c r="M677" i="1"/>
  <c r="O676" i="1"/>
  <c r="O676" i="1" a="1"/>
  <c r="N676" i="1"/>
  <c r="M676" i="1"/>
  <c r="O675" i="1"/>
  <c r="O675" i="1" a="1"/>
  <c r="N675" i="1"/>
  <c r="M675" i="1"/>
  <c r="O674" i="1"/>
  <c r="O674" i="1" a="1"/>
  <c r="N674" i="1"/>
  <c r="M674" i="1"/>
  <c r="O673" i="1"/>
  <c r="O673" i="1" a="1"/>
  <c r="N673" i="1"/>
  <c r="M673" i="1"/>
  <c r="O672" i="1"/>
  <c r="O672" i="1" a="1"/>
  <c r="N672" i="1"/>
  <c r="M672" i="1"/>
  <c r="O671" i="1"/>
  <c r="O671" i="1" a="1"/>
  <c r="N671" i="1"/>
  <c r="M671" i="1"/>
  <c r="O670" i="1"/>
  <c r="O670" i="1" a="1"/>
  <c r="N670" i="1"/>
  <c r="M670" i="1"/>
  <c r="O669" i="1"/>
  <c r="O669" i="1" a="1"/>
  <c r="N669" i="1"/>
  <c r="M669" i="1"/>
  <c r="O668" i="1"/>
  <c r="O668" i="1" a="1"/>
  <c r="N668" i="1"/>
  <c r="M668" i="1"/>
  <c r="O667" i="1"/>
  <c r="O667" i="1" a="1"/>
  <c r="N667" i="1"/>
  <c r="M667" i="1"/>
  <c r="O666" i="1"/>
  <c r="O666" i="1" a="1"/>
  <c r="N666" i="1"/>
  <c r="M666" i="1"/>
  <c r="O665" i="1"/>
  <c r="O665" i="1" a="1"/>
  <c r="N665" i="1"/>
  <c r="M665" i="1"/>
  <c r="O664" i="1"/>
  <c r="O664" i="1" a="1"/>
  <c r="N664" i="1"/>
  <c r="M664" i="1"/>
  <c r="O663" i="1"/>
  <c r="O663" i="1" a="1"/>
  <c r="N663" i="1"/>
  <c r="M663" i="1"/>
  <c r="O662" i="1"/>
  <c r="O662" i="1" a="1"/>
  <c r="N662" i="1"/>
  <c r="M662" i="1"/>
  <c r="O661" i="1"/>
  <c r="O661" i="1" a="1"/>
  <c r="N661" i="1"/>
  <c r="M661" i="1"/>
  <c r="O660" i="1"/>
  <c r="O660" i="1" a="1"/>
  <c r="N660" i="1"/>
  <c r="M660" i="1"/>
  <c r="O659" i="1"/>
  <c r="O659" i="1" a="1"/>
  <c r="N659" i="1"/>
  <c r="M659" i="1"/>
  <c r="O658" i="1"/>
  <c r="O658" i="1" a="1"/>
  <c r="N658" i="1"/>
  <c r="M658" i="1"/>
  <c r="O657" i="1"/>
  <c r="O657" i="1" a="1"/>
  <c r="N657" i="1"/>
  <c r="M657" i="1"/>
  <c r="O656" i="1"/>
  <c r="O656" i="1" a="1"/>
  <c r="N656" i="1"/>
  <c r="M656" i="1"/>
  <c r="O655" i="1"/>
  <c r="O655" i="1" a="1"/>
  <c r="N655" i="1"/>
  <c r="M655" i="1"/>
  <c r="O654" i="1"/>
  <c r="O654" i="1" a="1"/>
  <c r="N654" i="1"/>
  <c r="M654" i="1"/>
  <c r="O653" i="1"/>
  <c r="O653" i="1" a="1"/>
  <c r="N653" i="1"/>
  <c r="M653" i="1"/>
  <c r="O652" i="1"/>
  <c r="O652" i="1" a="1"/>
  <c r="N652" i="1"/>
  <c r="M652" i="1"/>
  <c r="O651" i="1"/>
  <c r="O651" i="1" a="1"/>
  <c r="N651" i="1"/>
  <c r="M651" i="1"/>
  <c r="O650" i="1"/>
  <c r="O650" i="1" a="1"/>
  <c r="N650" i="1"/>
  <c r="M650" i="1"/>
  <c r="O649" i="1"/>
  <c r="O649" i="1" a="1"/>
  <c r="N649" i="1"/>
  <c r="M649" i="1"/>
  <c r="O648" i="1"/>
  <c r="O648" i="1" a="1"/>
  <c r="N648" i="1"/>
  <c r="M648" i="1"/>
  <c r="O647" i="1"/>
  <c r="O647" i="1" a="1"/>
  <c r="N647" i="1"/>
  <c r="M647" i="1"/>
  <c r="O646" i="1"/>
  <c r="O646" i="1" a="1"/>
  <c r="N646" i="1"/>
  <c r="M646" i="1"/>
  <c r="O645" i="1"/>
  <c r="O645" i="1" a="1"/>
  <c r="N645" i="1"/>
  <c r="M645" i="1"/>
  <c r="O644" i="1"/>
  <c r="O644" i="1" a="1"/>
  <c r="N644" i="1"/>
  <c r="M644" i="1"/>
  <c r="O643" i="1"/>
  <c r="O643" i="1" a="1"/>
  <c r="N643" i="1"/>
  <c r="M643" i="1"/>
  <c r="O642" i="1"/>
  <c r="O642" i="1" a="1"/>
  <c r="N642" i="1"/>
  <c r="M642" i="1"/>
  <c r="O641" i="1"/>
  <c r="O641" i="1" a="1"/>
  <c r="N641" i="1"/>
  <c r="M641" i="1"/>
  <c r="O640" i="1"/>
  <c r="O640" i="1" a="1"/>
  <c r="N640" i="1"/>
  <c r="M640" i="1"/>
  <c r="O639" i="1"/>
  <c r="O639" i="1" a="1"/>
  <c r="N639" i="1"/>
  <c r="M639" i="1"/>
  <c r="O638" i="1"/>
  <c r="O638" i="1" a="1"/>
  <c r="N638" i="1"/>
  <c r="M638" i="1"/>
  <c r="O637" i="1"/>
  <c r="O637" i="1" a="1"/>
  <c r="N637" i="1"/>
  <c r="M637" i="1"/>
  <c r="O636" i="1"/>
  <c r="O636" i="1" a="1"/>
  <c r="N636" i="1"/>
  <c r="M636" i="1"/>
  <c r="O635" i="1"/>
  <c r="O635" i="1" a="1"/>
  <c r="N635" i="1"/>
  <c r="M635" i="1"/>
  <c r="O634" i="1"/>
  <c r="O634" i="1" a="1"/>
  <c r="N634" i="1"/>
  <c r="M634" i="1"/>
  <c r="O633" i="1"/>
  <c r="O633" i="1" a="1"/>
  <c r="N633" i="1"/>
  <c r="M633" i="1"/>
  <c r="O632" i="1"/>
  <c r="O632" i="1" a="1"/>
  <c r="N632" i="1"/>
  <c r="M632" i="1"/>
  <c r="O631" i="1"/>
  <c r="O631" i="1" a="1"/>
  <c r="N631" i="1"/>
  <c r="M631" i="1"/>
  <c r="O630" i="1"/>
  <c r="O630" i="1" a="1"/>
  <c r="N630" i="1"/>
  <c r="M630" i="1"/>
  <c r="O629" i="1"/>
  <c r="O629" i="1" a="1"/>
  <c r="N629" i="1"/>
  <c r="M629" i="1"/>
  <c r="O628" i="1"/>
  <c r="O628" i="1" a="1"/>
  <c r="N628" i="1"/>
  <c r="M628" i="1"/>
  <c r="O627" i="1"/>
  <c r="O627" i="1" a="1"/>
  <c r="N627" i="1"/>
  <c r="M627" i="1"/>
  <c r="O626" i="1"/>
  <c r="O626" i="1" a="1"/>
  <c r="N626" i="1"/>
  <c r="M626" i="1"/>
  <c r="O625" i="1"/>
  <c r="O625" i="1" a="1"/>
  <c r="N625" i="1"/>
  <c r="M625" i="1"/>
  <c r="O624" i="1"/>
  <c r="O624" i="1" a="1"/>
  <c r="N624" i="1"/>
  <c r="M624" i="1"/>
  <c r="O623" i="1"/>
  <c r="O623" i="1" a="1"/>
  <c r="N623" i="1"/>
  <c r="M623" i="1"/>
  <c r="O622" i="1"/>
  <c r="O622" i="1" a="1"/>
  <c r="N622" i="1"/>
  <c r="M622" i="1"/>
  <c r="O621" i="1"/>
  <c r="O621" i="1" a="1"/>
  <c r="N621" i="1"/>
  <c r="M621" i="1"/>
  <c r="O620" i="1"/>
  <c r="O620" i="1" a="1"/>
  <c r="N620" i="1"/>
  <c r="M620" i="1"/>
  <c r="O619" i="1"/>
  <c r="O619" i="1" a="1"/>
  <c r="N619" i="1"/>
  <c r="M619" i="1"/>
  <c r="O618" i="1"/>
  <c r="O618" i="1" a="1"/>
  <c r="N618" i="1"/>
  <c r="M618" i="1"/>
  <c r="O617" i="1"/>
  <c r="O617" i="1" a="1"/>
  <c r="N617" i="1"/>
  <c r="M617" i="1"/>
  <c r="O616" i="1"/>
  <c r="O616" i="1" a="1"/>
  <c r="N616" i="1"/>
  <c r="M616" i="1"/>
  <c r="O615" i="1"/>
  <c r="O615" i="1" a="1"/>
  <c r="N615" i="1"/>
  <c r="M615" i="1"/>
  <c r="O614" i="1"/>
  <c r="O614" i="1" a="1"/>
  <c r="N614" i="1"/>
  <c r="M614" i="1"/>
  <c r="O613" i="1"/>
  <c r="O613" i="1" a="1"/>
  <c r="N613" i="1"/>
  <c r="M613" i="1"/>
  <c r="O612" i="1"/>
  <c r="O612" i="1" a="1"/>
  <c r="N612" i="1"/>
  <c r="M612" i="1"/>
  <c r="O611" i="1"/>
  <c r="O611" i="1" a="1"/>
  <c r="N611" i="1"/>
  <c r="M611" i="1"/>
  <c r="O610" i="1"/>
  <c r="O610" i="1" a="1"/>
  <c r="N610" i="1"/>
  <c r="M610" i="1"/>
  <c r="O609" i="1"/>
  <c r="O609" i="1" a="1"/>
  <c r="N609" i="1"/>
  <c r="M609" i="1"/>
  <c r="O608" i="1"/>
  <c r="O608" i="1" a="1"/>
  <c r="N608" i="1"/>
  <c r="M608" i="1"/>
  <c r="O607" i="1"/>
  <c r="O607" i="1" a="1"/>
  <c r="N607" i="1"/>
  <c r="M607" i="1"/>
  <c r="O606" i="1"/>
  <c r="O606" i="1" a="1"/>
  <c r="N606" i="1"/>
  <c r="M606" i="1"/>
  <c r="O605" i="1"/>
  <c r="O605" i="1" a="1"/>
  <c r="N605" i="1"/>
  <c r="M605" i="1"/>
  <c r="O604" i="1"/>
  <c r="O604" i="1" a="1"/>
  <c r="N604" i="1"/>
  <c r="M604" i="1"/>
  <c r="O603" i="1"/>
  <c r="O603" i="1" a="1"/>
  <c r="N603" i="1"/>
  <c r="M603" i="1"/>
  <c r="O602" i="1"/>
  <c r="O602" i="1" a="1"/>
  <c r="N602" i="1"/>
  <c r="M602" i="1"/>
  <c r="O601" i="1"/>
  <c r="O601" i="1" a="1"/>
  <c r="N601" i="1"/>
  <c r="M601" i="1"/>
  <c r="O600" i="1"/>
  <c r="O600" i="1" a="1"/>
  <c r="N600" i="1"/>
  <c r="M600" i="1"/>
  <c r="O599" i="1"/>
  <c r="O599" i="1" a="1"/>
  <c r="N599" i="1"/>
  <c r="M599" i="1"/>
  <c r="O598" i="1"/>
  <c r="O598" i="1" a="1"/>
  <c r="N598" i="1"/>
  <c r="M598" i="1"/>
  <c r="O597" i="1"/>
  <c r="O597" i="1" a="1"/>
  <c r="N597" i="1"/>
  <c r="M597" i="1"/>
  <c r="O596" i="1"/>
  <c r="O596" i="1" a="1"/>
  <c r="N596" i="1"/>
  <c r="M596" i="1"/>
  <c r="O595" i="1"/>
  <c r="O595" i="1" a="1"/>
  <c r="N595" i="1"/>
  <c r="M595" i="1"/>
  <c r="O594" i="1"/>
  <c r="O594" i="1" a="1"/>
  <c r="N594" i="1"/>
  <c r="M594" i="1"/>
  <c r="O593" i="1"/>
  <c r="O593" i="1" a="1"/>
  <c r="N593" i="1"/>
  <c r="M593" i="1"/>
  <c r="O592" i="1"/>
  <c r="O592" i="1" a="1"/>
  <c r="N592" i="1"/>
  <c r="M592" i="1"/>
  <c r="O591" i="1"/>
  <c r="O591" i="1" a="1"/>
  <c r="N591" i="1"/>
  <c r="M591" i="1"/>
  <c r="O590" i="1"/>
  <c r="O590" i="1" a="1"/>
  <c r="N590" i="1"/>
  <c r="M590" i="1"/>
  <c r="O589" i="1"/>
  <c r="O589" i="1" a="1"/>
  <c r="N589" i="1"/>
  <c r="M589" i="1"/>
  <c r="O588" i="1"/>
  <c r="O588" i="1" a="1"/>
  <c r="N588" i="1"/>
  <c r="M588" i="1"/>
  <c r="O587" i="1"/>
  <c r="O587" i="1" a="1"/>
  <c r="N587" i="1"/>
  <c r="M587" i="1"/>
  <c r="O586" i="1"/>
  <c r="O586" i="1" a="1"/>
  <c r="N586" i="1"/>
  <c r="M586" i="1"/>
  <c r="O585" i="1"/>
  <c r="O585" i="1" a="1"/>
  <c r="N585" i="1"/>
  <c r="M585" i="1"/>
  <c r="O584" i="1"/>
  <c r="O584" i="1" a="1"/>
  <c r="N584" i="1"/>
  <c r="M584" i="1"/>
  <c r="O583" i="1"/>
  <c r="O583" i="1" a="1"/>
  <c r="N583" i="1"/>
  <c r="M583" i="1"/>
  <c r="O582" i="1"/>
  <c r="O582" i="1" a="1"/>
  <c r="N582" i="1"/>
  <c r="M582" i="1"/>
  <c r="O581" i="1"/>
  <c r="O581" i="1" a="1"/>
  <c r="N581" i="1"/>
  <c r="M581" i="1"/>
  <c r="O580" i="1"/>
  <c r="O580" i="1" a="1"/>
  <c r="N580" i="1"/>
  <c r="M580" i="1"/>
  <c r="O579" i="1"/>
  <c r="O579" i="1" a="1"/>
  <c r="N579" i="1"/>
  <c r="M579" i="1"/>
  <c r="O578" i="1"/>
  <c r="O578" i="1" a="1"/>
  <c r="N578" i="1"/>
  <c r="M578" i="1"/>
  <c r="O577" i="1"/>
  <c r="O577" i="1" a="1"/>
  <c r="N577" i="1"/>
  <c r="M577" i="1"/>
  <c r="O576" i="1"/>
  <c r="O576" i="1" a="1"/>
  <c r="N576" i="1"/>
  <c r="M576" i="1"/>
  <c r="O575" i="1"/>
  <c r="O575" i="1" a="1"/>
  <c r="N575" i="1"/>
  <c r="M575" i="1"/>
  <c r="O574" i="1"/>
  <c r="O574" i="1" a="1"/>
  <c r="N574" i="1"/>
  <c r="M574" i="1"/>
  <c r="O573" i="1"/>
  <c r="O573" i="1" a="1"/>
  <c r="N573" i="1"/>
  <c r="M573" i="1"/>
  <c r="O572" i="1"/>
  <c r="O572" i="1" a="1"/>
  <c r="N572" i="1"/>
  <c r="M572" i="1"/>
  <c r="O571" i="1"/>
  <c r="O571" i="1" a="1"/>
  <c r="N571" i="1"/>
  <c r="M571" i="1"/>
  <c r="O570" i="1"/>
  <c r="O570" i="1" a="1"/>
  <c r="N570" i="1"/>
  <c r="M570" i="1"/>
  <c r="O569" i="1"/>
  <c r="O569" i="1" a="1"/>
  <c r="N569" i="1"/>
  <c r="M569" i="1"/>
  <c r="O568" i="1"/>
  <c r="O568" i="1" a="1"/>
  <c r="N568" i="1"/>
  <c r="M568" i="1"/>
  <c r="O567" i="1"/>
  <c r="O567" i="1" a="1"/>
  <c r="N567" i="1"/>
  <c r="M567" i="1"/>
  <c r="O566" i="1"/>
  <c r="O566" i="1" a="1"/>
  <c r="N566" i="1"/>
  <c r="M566" i="1"/>
  <c r="O565" i="1"/>
  <c r="O565" i="1" a="1"/>
  <c r="N565" i="1"/>
  <c r="M565" i="1"/>
  <c r="O564" i="1"/>
  <c r="O564" i="1" a="1"/>
  <c r="N564" i="1"/>
  <c r="M564" i="1"/>
  <c r="O563" i="1"/>
  <c r="O563" i="1" a="1"/>
  <c r="N563" i="1"/>
  <c r="M563" i="1"/>
  <c r="O562" i="1"/>
  <c r="O562" i="1" a="1"/>
  <c r="N562" i="1"/>
  <c r="M562" i="1"/>
  <c r="O561" i="1"/>
  <c r="O561" i="1" a="1"/>
  <c r="N561" i="1"/>
  <c r="M561" i="1"/>
  <c r="O560" i="1"/>
  <c r="O560" i="1" a="1"/>
  <c r="N560" i="1"/>
  <c r="M560" i="1"/>
  <c r="O559" i="1"/>
  <c r="O559" i="1" a="1"/>
  <c r="N559" i="1"/>
  <c r="M559" i="1"/>
  <c r="O558" i="1"/>
  <c r="O558" i="1" a="1"/>
  <c r="N558" i="1"/>
  <c r="M558" i="1"/>
  <c r="O557" i="1"/>
  <c r="O557" i="1" a="1"/>
  <c r="N557" i="1"/>
  <c r="M557" i="1"/>
  <c r="O556" i="1"/>
  <c r="O556" i="1" a="1"/>
  <c r="N556" i="1"/>
  <c r="M556" i="1"/>
  <c r="O555" i="1"/>
  <c r="O555" i="1" a="1"/>
  <c r="N555" i="1"/>
  <c r="M555" i="1"/>
  <c r="O554" i="1"/>
  <c r="O554" i="1" a="1"/>
  <c r="N554" i="1"/>
  <c r="M554" i="1"/>
  <c r="O553" i="1"/>
  <c r="O553" i="1" a="1"/>
  <c r="N553" i="1"/>
  <c r="M553" i="1"/>
  <c r="O552" i="1"/>
  <c r="O552" i="1" a="1"/>
  <c r="N552" i="1"/>
  <c r="M552" i="1"/>
  <c r="O551" i="1"/>
  <c r="O551" i="1" a="1"/>
  <c r="N551" i="1"/>
  <c r="M551" i="1"/>
  <c r="O550" i="1"/>
  <c r="O550" i="1" a="1"/>
  <c r="N550" i="1"/>
  <c r="M550" i="1"/>
  <c r="O549" i="1"/>
  <c r="O549" i="1" a="1"/>
  <c r="N549" i="1"/>
  <c r="M549" i="1"/>
  <c r="O548" i="1"/>
  <c r="O548" i="1" a="1"/>
  <c r="N548" i="1"/>
  <c r="M548" i="1"/>
  <c r="O547" i="1"/>
  <c r="O547" i="1" a="1"/>
  <c r="N547" i="1"/>
  <c r="M547" i="1"/>
  <c r="O546" i="1"/>
  <c r="O546" i="1" a="1"/>
  <c r="N546" i="1"/>
  <c r="M546" i="1"/>
  <c r="O545" i="1"/>
  <c r="O545" i="1" a="1"/>
  <c r="N545" i="1"/>
  <c r="M545" i="1"/>
  <c r="O544" i="1"/>
  <c r="O544" i="1" a="1"/>
  <c r="N544" i="1"/>
  <c r="M544" i="1"/>
  <c r="O543" i="1"/>
  <c r="O543" i="1" a="1"/>
  <c r="N543" i="1"/>
  <c r="M543" i="1"/>
  <c r="O542" i="1"/>
  <c r="O542" i="1" a="1"/>
  <c r="N542" i="1"/>
  <c r="M542" i="1"/>
  <c r="O541" i="1"/>
  <c r="O541" i="1" a="1"/>
  <c r="N541" i="1"/>
  <c r="M541" i="1"/>
  <c r="O540" i="1"/>
  <c r="O540" i="1" a="1"/>
  <c r="N540" i="1"/>
  <c r="M540" i="1"/>
  <c r="O539" i="1"/>
  <c r="O539" i="1" a="1"/>
  <c r="N539" i="1"/>
  <c r="M539" i="1"/>
  <c r="O538" i="1"/>
  <c r="O538" i="1" a="1"/>
  <c r="N538" i="1"/>
  <c r="M538" i="1"/>
  <c r="O537" i="1"/>
  <c r="O537" i="1" a="1"/>
  <c r="N537" i="1"/>
  <c r="M537" i="1"/>
  <c r="O536" i="1"/>
  <c r="O536" i="1" a="1"/>
  <c r="N536" i="1"/>
  <c r="M536" i="1"/>
  <c r="O535" i="1"/>
  <c r="O535" i="1" a="1"/>
  <c r="N535" i="1"/>
  <c r="M535" i="1"/>
  <c r="O534" i="1"/>
  <c r="O534" i="1" a="1"/>
  <c r="N534" i="1"/>
  <c r="M534" i="1"/>
  <c r="O533" i="1"/>
  <c r="O533" i="1" a="1"/>
  <c r="N533" i="1"/>
  <c r="M533" i="1"/>
  <c r="O532" i="1"/>
  <c r="O532" i="1" a="1"/>
  <c r="N532" i="1"/>
  <c r="M532" i="1"/>
  <c r="O531" i="1"/>
  <c r="O531" i="1" a="1"/>
  <c r="N531" i="1"/>
  <c r="M531" i="1"/>
  <c r="O530" i="1"/>
  <c r="O530" i="1" a="1"/>
  <c r="N530" i="1"/>
  <c r="M530" i="1"/>
  <c r="O529" i="1"/>
  <c r="O529" i="1" a="1"/>
  <c r="N529" i="1"/>
  <c r="M529" i="1"/>
  <c r="O528" i="1"/>
  <c r="O528" i="1" a="1"/>
  <c r="N528" i="1"/>
  <c r="M528" i="1"/>
  <c r="O527" i="1"/>
  <c r="O527" i="1" a="1"/>
  <c r="N527" i="1"/>
  <c r="M527" i="1"/>
  <c r="O526" i="1"/>
  <c r="O526" i="1" a="1"/>
  <c r="N526" i="1"/>
  <c r="M526" i="1"/>
  <c r="O525" i="1"/>
  <c r="O525" i="1" a="1"/>
  <c r="N525" i="1"/>
  <c r="M525" i="1"/>
  <c r="O524" i="1"/>
  <c r="O524" i="1" a="1"/>
  <c r="N524" i="1"/>
  <c r="M524" i="1"/>
  <c r="O523" i="1"/>
  <c r="O523" i="1" a="1"/>
  <c r="N523" i="1"/>
  <c r="M523" i="1"/>
  <c r="O522" i="1"/>
  <c r="O522" i="1" a="1"/>
  <c r="N522" i="1"/>
  <c r="M522" i="1"/>
  <c r="O521" i="1"/>
  <c r="O521" i="1" a="1"/>
  <c r="N521" i="1"/>
  <c r="M521" i="1"/>
  <c r="O520" i="1"/>
  <c r="O520" i="1" a="1"/>
  <c r="N520" i="1"/>
  <c r="M520" i="1"/>
  <c r="O519" i="1"/>
  <c r="O519" i="1" a="1"/>
  <c r="N519" i="1"/>
  <c r="M519" i="1"/>
  <c r="O518" i="1"/>
  <c r="O518" i="1" a="1"/>
  <c r="N518" i="1"/>
  <c r="M518" i="1"/>
  <c r="O517" i="1"/>
  <c r="O517" i="1" a="1"/>
  <c r="N517" i="1"/>
  <c r="M517" i="1"/>
  <c r="O516" i="1"/>
  <c r="O516" i="1" a="1"/>
  <c r="N516" i="1"/>
  <c r="M516" i="1"/>
  <c r="O515" i="1"/>
  <c r="O515" i="1" a="1"/>
  <c r="N515" i="1"/>
  <c r="M515" i="1"/>
  <c r="O514" i="1"/>
  <c r="O514" i="1" a="1"/>
  <c r="N514" i="1"/>
  <c r="M514" i="1"/>
  <c r="O513" i="1"/>
  <c r="O513" i="1" a="1"/>
  <c r="N513" i="1"/>
  <c r="M513" i="1"/>
  <c r="O512" i="1"/>
  <c r="O512" i="1" a="1"/>
  <c r="N512" i="1"/>
  <c r="M512" i="1"/>
  <c r="O511" i="1"/>
  <c r="O511" i="1" a="1"/>
  <c r="N511" i="1"/>
  <c r="M511" i="1"/>
  <c r="O510" i="1"/>
  <c r="O510" i="1" a="1"/>
  <c r="N510" i="1"/>
  <c r="M510" i="1"/>
  <c r="O509" i="1"/>
  <c r="O509" i="1" a="1"/>
  <c r="N509" i="1"/>
  <c r="M509" i="1"/>
  <c r="O508" i="1"/>
  <c r="O508" i="1" a="1"/>
  <c r="N508" i="1"/>
  <c r="M508" i="1"/>
  <c r="O507" i="1"/>
  <c r="O507" i="1" a="1"/>
  <c r="N507" i="1"/>
  <c r="M507" i="1"/>
  <c r="O506" i="1"/>
  <c r="O506" i="1" a="1"/>
  <c r="N506" i="1"/>
  <c r="M506" i="1"/>
  <c r="O505" i="1"/>
  <c r="O505" i="1" a="1"/>
  <c r="N505" i="1"/>
  <c r="M505" i="1"/>
  <c r="O504" i="1"/>
  <c r="O504" i="1" a="1"/>
  <c r="N504" i="1"/>
  <c r="M504" i="1"/>
  <c r="O503" i="1"/>
  <c r="O503" i="1" a="1"/>
  <c r="N503" i="1"/>
  <c r="M503" i="1"/>
  <c r="O502" i="1"/>
  <c r="O502" i="1" a="1"/>
  <c r="N502" i="1"/>
  <c r="M502" i="1"/>
  <c r="O501" i="1"/>
  <c r="O501" i="1" a="1"/>
  <c r="N501" i="1"/>
  <c r="M501" i="1"/>
  <c r="O500" i="1"/>
  <c r="O500" i="1" a="1"/>
  <c r="N500" i="1"/>
  <c r="M500" i="1"/>
  <c r="O499" i="1"/>
  <c r="O499" i="1" a="1"/>
  <c r="N499" i="1"/>
  <c r="M499" i="1"/>
  <c r="O498" i="1"/>
  <c r="O498" i="1" a="1"/>
  <c r="N498" i="1"/>
  <c r="M498" i="1"/>
  <c r="O497" i="1"/>
  <c r="O497" i="1" a="1"/>
  <c r="N497" i="1"/>
  <c r="M497" i="1"/>
  <c r="O496" i="1"/>
  <c r="O496" i="1" a="1"/>
  <c r="N496" i="1"/>
  <c r="M496" i="1"/>
  <c r="O495" i="1"/>
  <c r="O495" i="1" a="1"/>
  <c r="N495" i="1"/>
  <c r="M495" i="1"/>
  <c r="O494" i="1"/>
  <c r="O494" i="1" a="1"/>
  <c r="N494" i="1"/>
  <c r="M494" i="1"/>
  <c r="O493" i="1"/>
  <c r="O493" i="1" a="1"/>
  <c r="N493" i="1"/>
  <c r="M493" i="1"/>
  <c r="O492" i="1"/>
  <c r="O492" i="1" a="1"/>
  <c r="N492" i="1"/>
  <c r="M492" i="1"/>
  <c r="O491" i="1"/>
  <c r="O491" i="1" a="1"/>
  <c r="N491" i="1"/>
  <c r="M491" i="1"/>
  <c r="O490" i="1"/>
  <c r="O490" i="1" a="1"/>
  <c r="N490" i="1"/>
  <c r="M490" i="1"/>
  <c r="O489" i="1"/>
  <c r="O489" i="1" a="1"/>
  <c r="N489" i="1"/>
  <c r="M489" i="1"/>
  <c r="O488" i="1"/>
  <c r="O488" i="1" a="1"/>
  <c r="N488" i="1"/>
  <c r="M488" i="1"/>
  <c r="O487" i="1"/>
  <c r="O487" i="1" a="1"/>
  <c r="N487" i="1"/>
  <c r="M487" i="1"/>
  <c r="O486" i="1"/>
  <c r="O486" i="1" a="1"/>
  <c r="N486" i="1"/>
  <c r="M486" i="1"/>
  <c r="O485" i="1"/>
  <c r="O485" i="1" a="1"/>
  <c r="N485" i="1"/>
  <c r="M485" i="1"/>
  <c r="O484" i="1"/>
  <c r="O484" i="1" a="1"/>
  <c r="N484" i="1"/>
  <c r="M484" i="1"/>
  <c r="O483" i="1"/>
  <c r="O483" i="1" a="1"/>
  <c r="N483" i="1"/>
  <c r="M483" i="1"/>
  <c r="O482" i="1"/>
  <c r="O482" i="1" a="1"/>
  <c r="N482" i="1"/>
  <c r="M482" i="1"/>
  <c r="O481" i="1"/>
  <c r="O481" i="1" a="1"/>
  <c r="N481" i="1"/>
  <c r="M481" i="1"/>
  <c r="O480" i="1"/>
  <c r="O480" i="1" a="1"/>
  <c r="N480" i="1"/>
  <c r="M480" i="1"/>
  <c r="O479" i="1"/>
  <c r="O479" i="1" a="1"/>
  <c r="N479" i="1"/>
  <c r="M479" i="1"/>
  <c r="O478" i="1"/>
  <c r="O478" i="1" a="1"/>
  <c r="N478" i="1"/>
  <c r="M478" i="1"/>
  <c r="O477" i="1"/>
  <c r="O477" i="1" a="1"/>
  <c r="N477" i="1"/>
  <c r="M477" i="1"/>
  <c r="O476" i="1"/>
  <c r="O476" i="1" a="1"/>
  <c r="N476" i="1"/>
  <c r="M476" i="1"/>
  <c r="O475" i="1"/>
  <c r="O475" i="1" a="1"/>
  <c r="N475" i="1"/>
  <c r="M475" i="1"/>
  <c r="O474" i="1"/>
  <c r="O474" i="1" a="1"/>
  <c r="N474" i="1"/>
  <c r="M474" i="1"/>
  <c r="O473" i="1"/>
  <c r="O473" i="1" a="1"/>
  <c r="N473" i="1"/>
  <c r="M473" i="1"/>
  <c r="O472" i="1"/>
  <c r="O472" i="1" a="1"/>
  <c r="N472" i="1"/>
  <c r="M472" i="1"/>
  <c r="O471" i="1"/>
  <c r="O471" i="1" a="1"/>
  <c r="N471" i="1"/>
  <c r="M471" i="1"/>
  <c r="O470" i="1"/>
  <c r="O470" i="1" a="1"/>
  <c r="N470" i="1"/>
  <c r="M470" i="1"/>
  <c r="O469" i="1"/>
  <c r="O469" i="1" a="1"/>
  <c r="N469" i="1"/>
  <c r="M469" i="1"/>
  <c r="O468" i="1"/>
  <c r="O468" i="1" a="1"/>
  <c r="N468" i="1"/>
  <c r="M468" i="1"/>
  <c r="O467" i="1"/>
  <c r="O467" i="1" a="1"/>
  <c r="N467" i="1"/>
  <c r="M467" i="1"/>
  <c r="O466" i="1"/>
  <c r="O466" i="1" a="1"/>
  <c r="N466" i="1"/>
  <c r="M466" i="1"/>
  <c r="O465" i="1"/>
  <c r="O465" i="1" a="1"/>
  <c r="N465" i="1"/>
  <c r="M465" i="1"/>
  <c r="O464" i="1"/>
  <c r="O464" i="1" a="1"/>
  <c r="N464" i="1"/>
  <c r="M464" i="1"/>
  <c r="O463" i="1"/>
  <c r="O463" i="1" a="1"/>
  <c r="N463" i="1"/>
  <c r="M463" i="1"/>
  <c r="O462" i="1"/>
  <c r="O462" i="1" a="1"/>
  <c r="N462" i="1"/>
  <c r="M462" i="1"/>
  <c r="O461" i="1"/>
  <c r="O461" i="1" a="1"/>
  <c r="N461" i="1"/>
  <c r="M461" i="1"/>
  <c r="O460" i="1"/>
  <c r="O460" i="1" a="1"/>
  <c r="N460" i="1"/>
  <c r="M460" i="1"/>
  <c r="O459" i="1"/>
  <c r="O459" i="1" a="1"/>
  <c r="N459" i="1"/>
  <c r="M459" i="1"/>
  <c r="O458" i="1"/>
  <c r="O458" i="1" a="1"/>
  <c r="N458" i="1"/>
  <c r="M458" i="1"/>
  <c r="O457" i="1"/>
  <c r="O457" i="1" a="1"/>
  <c r="N457" i="1"/>
  <c r="M457" i="1"/>
  <c r="O456" i="1"/>
  <c r="O456" i="1" a="1"/>
  <c r="N456" i="1"/>
  <c r="M456" i="1"/>
  <c r="O455" i="1"/>
  <c r="O455" i="1" a="1"/>
  <c r="N455" i="1"/>
  <c r="M455" i="1"/>
  <c r="O454" i="1"/>
  <c r="O454" i="1" a="1"/>
  <c r="N454" i="1"/>
  <c r="M454" i="1"/>
  <c r="O453" i="1"/>
  <c r="O453" i="1" a="1"/>
  <c r="N453" i="1"/>
  <c r="M453" i="1"/>
  <c r="O452" i="1"/>
  <c r="O452" i="1" a="1"/>
  <c r="N452" i="1"/>
  <c r="M452" i="1"/>
  <c r="O451" i="1"/>
  <c r="O451" i="1" a="1"/>
  <c r="N451" i="1"/>
  <c r="M451" i="1"/>
  <c r="O450" i="1"/>
  <c r="O450" i="1" a="1"/>
  <c r="N450" i="1"/>
  <c r="M450" i="1"/>
  <c r="O449" i="1"/>
  <c r="O449" i="1" a="1"/>
  <c r="N449" i="1"/>
  <c r="M449" i="1"/>
  <c r="O448" i="1"/>
  <c r="O448" i="1" a="1"/>
  <c r="N448" i="1"/>
  <c r="M448" i="1"/>
  <c r="O447" i="1"/>
  <c r="O447" i="1" a="1"/>
  <c r="N447" i="1"/>
  <c r="M447" i="1"/>
  <c r="O446" i="1"/>
  <c r="O446" i="1" a="1"/>
  <c r="N446" i="1"/>
  <c r="M446" i="1"/>
  <c r="O445" i="1"/>
  <c r="O445" i="1" a="1"/>
  <c r="N445" i="1"/>
  <c r="M445" i="1"/>
  <c r="O444" i="1"/>
  <c r="O444" i="1" a="1"/>
  <c r="N444" i="1"/>
  <c r="M444" i="1"/>
  <c r="O443" i="1"/>
  <c r="O443" i="1" a="1"/>
  <c r="N443" i="1"/>
  <c r="M443" i="1"/>
  <c r="O442" i="1"/>
  <c r="O442" i="1" a="1"/>
  <c r="N442" i="1"/>
  <c r="M442" i="1"/>
  <c r="O441" i="1"/>
  <c r="O441" i="1" a="1"/>
  <c r="N441" i="1"/>
  <c r="M441" i="1"/>
  <c r="O440" i="1"/>
  <c r="O440" i="1" a="1"/>
  <c r="N440" i="1"/>
  <c r="M440" i="1"/>
  <c r="O439" i="1"/>
  <c r="O439" i="1" a="1"/>
  <c r="N439" i="1"/>
  <c r="M439" i="1"/>
  <c r="O438" i="1"/>
  <c r="O438" i="1" a="1"/>
  <c r="N438" i="1"/>
  <c r="M438" i="1"/>
  <c r="O437" i="1"/>
  <c r="O437" i="1" a="1"/>
  <c r="N437" i="1"/>
  <c r="M437" i="1"/>
  <c r="O436" i="1"/>
  <c r="O436" i="1" a="1"/>
  <c r="N436" i="1"/>
  <c r="M436" i="1"/>
  <c r="O435" i="1"/>
  <c r="O435" i="1" a="1"/>
  <c r="N435" i="1"/>
  <c r="M435" i="1"/>
  <c r="O434" i="1"/>
  <c r="O434" i="1" a="1"/>
  <c r="N434" i="1"/>
  <c r="M434" i="1"/>
  <c r="O433" i="1"/>
  <c r="O433" i="1" a="1"/>
  <c r="N433" i="1"/>
  <c r="M433" i="1"/>
  <c r="O432" i="1"/>
  <c r="O432" i="1" a="1"/>
  <c r="N432" i="1"/>
  <c r="M432" i="1"/>
  <c r="O431" i="1"/>
  <c r="O431" i="1" a="1"/>
  <c r="N431" i="1"/>
  <c r="M431" i="1"/>
  <c r="O430" i="1"/>
  <c r="O430" i="1" a="1"/>
  <c r="N430" i="1"/>
  <c r="M430" i="1"/>
  <c r="O429" i="1"/>
  <c r="O429" i="1" a="1"/>
  <c r="N429" i="1"/>
  <c r="M429" i="1"/>
  <c r="O428" i="1"/>
  <c r="O428" i="1" a="1"/>
  <c r="N428" i="1"/>
  <c r="M428" i="1"/>
  <c r="O427" i="1"/>
  <c r="O427" i="1" a="1"/>
  <c r="N427" i="1"/>
  <c r="M427" i="1"/>
  <c r="O426" i="1"/>
  <c r="O426" i="1" a="1"/>
  <c r="N426" i="1"/>
  <c r="M426" i="1"/>
  <c r="O425" i="1"/>
  <c r="O425" i="1" a="1"/>
  <c r="N425" i="1"/>
  <c r="M425" i="1"/>
  <c r="O424" i="1"/>
  <c r="O424" i="1" a="1"/>
  <c r="N424" i="1"/>
  <c r="M424" i="1"/>
  <c r="O423" i="1"/>
  <c r="O423" i="1" a="1"/>
  <c r="N423" i="1"/>
  <c r="M423" i="1"/>
  <c r="O422" i="1"/>
  <c r="O422" i="1" a="1"/>
  <c r="N422" i="1"/>
  <c r="M422" i="1"/>
  <c r="O421" i="1"/>
  <c r="O421" i="1" a="1"/>
  <c r="N421" i="1"/>
  <c r="M421" i="1"/>
  <c r="O420" i="1"/>
  <c r="O420" i="1" a="1"/>
  <c r="N420" i="1"/>
  <c r="M420" i="1"/>
  <c r="O419" i="1"/>
  <c r="O419" i="1" a="1"/>
  <c r="N419" i="1"/>
  <c r="M419" i="1"/>
  <c r="O418" i="1"/>
  <c r="O418" i="1" a="1"/>
  <c r="N418" i="1"/>
  <c r="M418" i="1"/>
  <c r="O417" i="1"/>
  <c r="O417" i="1" a="1"/>
  <c r="N417" i="1"/>
  <c r="M417" i="1"/>
  <c r="O416" i="1"/>
  <c r="O416" i="1" a="1"/>
  <c r="N416" i="1"/>
  <c r="M416" i="1"/>
  <c r="O415" i="1"/>
  <c r="O415" i="1" a="1"/>
  <c r="N415" i="1"/>
  <c r="M415" i="1"/>
  <c r="O414" i="1"/>
  <c r="O414" i="1" a="1"/>
  <c r="N414" i="1"/>
  <c r="M414" i="1"/>
  <c r="O413" i="1"/>
  <c r="O413" i="1" a="1"/>
  <c r="N413" i="1"/>
  <c r="M413" i="1"/>
  <c r="O412" i="1"/>
  <c r="O412" i="1" a="1"/>
  <c r="N412" i="1"/>
  <c r="M412" i="1"/>
  <c r="O411" i="1"/>
  <c r="O411" i="1" a="1"/>
  <c r="N411" i="1"/>
  <c r="M411" i="1"/>
  <c r="O410" i="1"/>
  <c r="O410" i="1" a="1"/>
  <c r="N410" i="1"/>
  <c r="M410" i="1"/>
  <c r="O409" i="1"/>
  <c r="O409" i="1" a="1"/>
  <c r="N409" i="1"/>
  <c r="M409" i="1"/>
  <c r="O408" i="1"/>
  <c r="O408" i="1" a="1"/>
  <c r="N408" i="1"/>
  <c r="M408" i="1"/>
  <c r="O407" i="1"/>
  <c r="O407" i="1" a="1"/>
  <c r="N407" i="1"/>
  <c r="M407" i="1"/>
  <c r="O406" i="1"/>
  <c r="O406" i="1" a="1"/>
  <c r="N406" i="1"/>
  <c r="M406" i="1"/>
  <c r="O405" i="1"/>
  <c r="O405" i="1" a="1"/>
  <c r="N405" i="1"/>
  <c r="M405" i="1"/>
  <c r="O404" i="1"/>
  <c r="O404" i="1" a="1"/>
  <c r="N404" i="1"/>
  <c r="M404" i="1"/>
  <c r="O403" i="1"/>
  <c r="O403" i="1" a="1"/>
  <c r="N403" i="1"/>
  <c r="M403" i="1"/>
  <c r="O402" i="1"/>
  <c r="O402" i="1" a="1"/>
  <c r="N402" i="1"/>
  <c r="M402" i="1"/>
  <c r="O401" i="1"/>
  <c r="O401" i="1" a="1"/>
  <c r="N401" i="1"/>
  <c r="M401" i="1"/>
  <c r="O400" i="1"/>
  <c r="O400" i="1" a="1"/>
  <c r="N400" i="1"/>
  <c r="M400" i="1"/>
  <c r="O399" i="1"/>
  <c r="O399" i="1" a="1"/>
  <c r="N399" i="1"/>
  <c r="M399" i="1"/>
  <c r="O398" i="1"/>
  <c r="O398" i="1" a="1"/>
  <c r="N398" i="1"/>
  <c r="M398" i="1"/>
  <c r="O397" i="1"/>
  <c r="O397" i="1" a="1"/>
  <c r="N397" i="1"/>
  <c r="M397" i="1"/>
  <c r="O396" i="1"/>
  <c r="O396" i="1" a="1"/>
  <c r="N396" i="1"/>
  <c r="M396" i="1"/>
  <c r="O395" i="1"/>
  <c r="O395" i="1" a="1"/>
  <c r="N395" i="1"/>
  <c r="M395" i="1"/>
  <c r="O394" i="1"/>
  <c r="O394" i="1" a="1"/>
  <c r="N394" i="1"/>
  <c r="M394" i="1"/>
  <c r="O393" i="1"/>
  <c r="O393" i="1" a="1"/>
  <c r="N393" i="1"/>
  <c r="M393" i="1"/>
  <c r="O392" i="1"/>
  <c r="O392" i="1" a="1"/>
  <c r="N392" i="1"/>
  <c r="M392" i="1"/>
  <c r="O391" i="1"/>
  <c r="O391" i="1" a="1"/>
  <c r="N391" i="1"/>
  <c r="M391" i="1"/>
  <c r="O390" i="1"/>
  <c r="O390" i="1" a="1"/>
  <c r="N390" i="1"/>
  <c r="M390" i="1"/>
  <c r="O389" i="1"/>
  <c r="O389" i="1" a="1"/>
  <c r="N389" i="1"/>
  <c r="M389" i="1"/>
  <c r="O388" i="1"/>
  <c r="O388" i="1" a="1"/>
  <c r="N388" i="1"/>
  <c r="M388" i="1"/>
  <c r="O387" i="1"/>
  <c r="O387" i="1" a="1"/>
  <c r="N387" i="1"/>
  <c r="M387" i="1"/>
  <c r="O386" i="1"/>
  <c r="O386" i="1" a="1"/>
  <c r="N386" i="1"/>
  <c r="M386" i="1"/>
  <c r="O385" i="1"/>
  <c r="O385" i="1" a="1"/>
  <c r="N385" i="1"/>
  <c r="M385" i="1"/>
  <c r="O384" i="1"/>
  <c r="O384" i="1" a="1"/>
  <c r="N384" i="1"/>
  <c r="M384" i="1"/>
  <c r="O383" i="1"/>
  <c r="O383" i="1" a="1"/>
  <c r="N383" i="1"/>
  <c r="M383" i="1"/>
  <c r="O382" i="1"/>
  <c r="O382" i="1" a="1"/>
  <c r="N382" i="1"/>
  <c r="M382" i="1"/>
  <c r="O381" i="1"/>
  <c r="O381" i="1" a="1"/>
  <c r="N381" i="1"/>
  <c r="M381" i="1"/>
  <c r="O380" i="1"/>
  <c r="O380" i="1" a="1"/>
  <c r="N380" i="1"/>
  <c r="M380" i="1"/>
  <c r="O379" i="1"/>
  <c r="O379" i="1" a="1"/>
  <c r="N379" i="1"/>
  <c r="M379" i="1"/>
  <c r="O378" i="1"/>
  <c r="O378" i="1" a="1"/>
  <c r="N378" i="1"/>
  <c r="M378" i="1"/>
  <c r="O377" i="1"/>
  <c r="O377" i="1" a="1"/>
  <c r="N377" i="1"/>
  <c r="M377" i="1"/>
  <c r="O376" i="1"/>
  <c r="O376" i="1" a="1"/>
  <c r="N376" i="1"/>
  <c r="M376" i="1"/>
  <c r="O375" i="1"/>
  <c r="O375" i="1" a="1"/>
  <c r="N375" i="1"/>
  <c r="M375" i="1"/>
  <c r="O374" i="1"/>
  <c r="O374" i="1" a="1"/>
  <c r="N374" i="1"/>
  <c r="M374" i="1"/>
  <c r="O373" i="1"/>
  <c r="O373" i="1" a="1"/>
  <c r="N373" i="1"/>
  <c r="M373" i="1"/>
  <c r="O372" i="1"/>
  <c r="O372" i="1" a="1"/>
  <c r="N372" i="1"/>
  <c r="M372" i="1"/>
  <c r="O371" i="1"/>
  <c r="O371" i="1" a="1"/>
  <c r="N371" i="1"/>
  <c r="M371" i="1"/>
  <c r="O370" i="1"/>
  <c r="O370" i="1" a="1"/>
  <c r="N370" i="1"/>
  <c r="M370" i="1"/>
  <c r="O369" i="1"/>
  <c r="O369" i="1" a="1"/>
  <c r="N369" i="1"/>
  <c r="M369" i="1"/>
  <c r="O368" i="1"/>
  <c r="O368" i="1" a="1"/>
  <c r="N368" i="1"/>
  <c r="M368" i="1"/>
  <c r="O367" i="1"/>
  <c r="O367" i="1" a="1"/>
  <c r="N367" i="1"/>
  <c r="M367" i="1"/>
  <c r="O366" i="1"/>
  <c r="O366" i="1" a="1"/>
  <c r="N366" i="1"/>
  <c r="M366" i="1"/>
  <c r="O365" i="1"/>
  <c r="O365" i="1" a="1"/>
  <c r="N365" i="1"/>
  <c r="M365" i="1"/>
  <c r="O364" i="1"/>
  <c r="O364" i="1" a="1"/>
  <c r="N364" i="1"/>
  <c r="M364" i="1"/>
  <c r="O363" i="1"/>
  <c r="O363" i="1" a="1"/>
  <c r="N363" i="1"/>
  <c r="M363" i="1"/>
  <c r="O362" i="1"/>
  <c r="O362" i="1" a="1"/>
  <c r="N362" i="1"/>
  <c r="M362" i="1"/>
  <c r="O361" i="1"/>
  <c r="O361" i="1" a="1"/>
  <c r="N361" i="1"/>
  <c r="M361" i="1"/>
  <c r="O360" i="1"/>
  <c r="O360" i="1" a="1"/>
  <c r="N360" i="1"/>
  <c r="M360" i="1"/>
  <c r="O359" i="1"/>
  <c r="O359" i="1" a="1"/>
  <c r="N359" i="1"/>
  <c r="M359" i="1"/>
  <c r="O358" i="1"/>
  <c r="O358" i="1" a="1"/>
  <c r="N358" i="1"/>
  <c r="M358" i="1"/>
  <c r="O357" i="1"/>
  <c r="O357" i="1" a="1"/>
  <c r="N357" i="1"/>
  <c r="M357" i="1"/>
  <c r="O356" i="1"/>
  <c r="O356" i="1" a="1"/>
  <c r="N356" i="1"/>
  <c r="M356" i="1"/>
  <c r="O355" i="1"/>
  <c r="O355" i="1" a="1"/>
  <c r="N355" i="1"/>
  <c r="M355" i="1"/>
  <c r="O354" i="1"/>
  <c r="O354" i="1" a="1"/>
  <c r="N354" i="1"/>
  <c r="M354" i="1"/>
  <c r="O353" i="1"/>
  <c r="O353" i="1" a="1"/>
  <c r="N353" i="1"/>
  <c r="M353" i="1"/>
  <c r="O352" i="1"/>
  <c r="O352" i="1" a="1"/>
  <c r="N352" i="1"/>
  <c r="M352" i="1"/>
  <c r="O351" i="1"/>
  <c r="O351" i="1" a="1"/>
  <c r="N351" i="1"/>
  <c r="M351" i="1"/>
  <c r="O350" i="1"/>
  <c r="O350" i="1" a="1"/>
  <c r="N350" i="1"/>
  <c r="M350" i="1"/>
  <c r="O349" i="1"/>
  <c r="O349" i="1" a="1"/>
  <c r="N349" i="1"/>
  <c r="M349" i="1"/>
  <c r="O348" i="1"/>
  <c r="O348" i="1" a="1"/>
  <c r="N348" i="1"/>
  <c r="M348" i="1"/>
  <c r="O347" i="1"/>
  <c r="O347" i="1" a="1"/>
  <c r="N347" i="1"/>
  <c r="M347" i="1"/>
  <c r="O346" i="1"/>
  <c r="O346" i="1" a="1"/>
  <c r="N346" i="1"/>
  <c r="M346" i="1"/>
  <c r="O345" i="1"/>
  <c r="O345" i="1" a="1"/>
  <c r="N345" i="1"/>
  <c r="M345" i="1"/>
  <c r="O344" i="1"/>
  <c r="O344" i="1" a="1"/>
  <c r="N344" i="1"/>
  <c r="M344" i="1"/>
  <c r="O343" i="1"/>
  <c r="O343" i="1" a="1"/>
  <c r="N343" i="1"/>
  <c r="M343" i="1"/>
  <c r="O342" i="1"/>
  <c r="O342" i="1" a="1"/>
  <c r="N342" i="1"/>
  <c r="M342" i="1"/>
  <c r="O341" i="1"/>
  <c r="O341" i="1" a="1"/>
  <c r="N341" i="1"/>
  <c r="M341" i="1"/>
  <c r="O340" i="1"/>
  <c r="O340" i="1" a="1"/>
  <c r="N340" i="1"/>
  <c r="M340" i="1"/>
  <c r="O339" i="1"/>
  <c r="O339" i="1" a="1"/>
  <c r="N339" i="1"/>
  <c r="M339" i="1"/>
  <c r="O338" i="1"/>
  <c r="O338" i="1" a="1"/>
  <c r="N338" i="1"/>
  <c r="M338" i="1"/>
  <c r="O337" i="1"/>
  <c r="O337" i="1" a="1"/>
  <c r="N337" i="1"/>
  <c r="M337" i="1"/>
  <c r="O336" i="1"/>
  <c r="O336" i="1" a="1"/>
  <c r="N336" i="1"/>
  <c r="M336" i="1"/>
  <c r="O335" i="1"/>
  <c r="O335" i="1" a="1"/>
  <c r="N335" i="1"/>
  <c r="M335" i="1"/>
  <c r="O334" i="1"/>
  <c r="O334" i="1" a="1"/>
  <c r="N334" i="1"/>
  <c r="M334" i="1"/>
  <c r="O333" i="1"/>
  <c r="O333" i="1" a="1"/>
  <c r="N333" i="1"/>
  <c r="M333" i="1"/>
  <c r="O332" i="1"/>
  <c r="O332" i="1" a="1"/>
  <c r="N332" i="1"/>
  <c r="M332" i="1"/>
  <c r="O331" i="1"/>
  <c r="O331" i="1" a="1"/>
  <c r="N331" i="1"/>
  <c r="M331" i="1"/>
  <c r="O330" i="1"/>
  <c r="O330" i="1" a="1"/>
  <c r="N330" i="1"/>
  <c r="M330" i="1"/>
  <c r="O329" i="1"/>
  <c r="O329" i="1" a="1"/>
  <c r="N329" i="1"/>
  <c r="M329" i="1"/>
  <c r="O328" i="1"/>
  <c r="O328" i="1" a="1"/>
  <c r="N328" i="1"/>
  <c r="M328" i="1"/>
  <c r="O327" i="1"/>
  <c r="O327" i="1" a="1"/>
  <c r="N327" i="1"/>
  <c r="M327" i="1"/>
  <c r="O326" i="1"/>
  <c r="O326" i="1" a="1"/>
  <c r="N326" i="1"/>
  <c r="M326" i="1"/>
  <c r="O325" i="1"/>
  <c r="O325" i="1" a="1"/>
  <c r="N325" i="1"/>
  <c r="M325" i="1"/>
  <c r="O324" i="1"/>
  <c r="O324" i="1" a="1"/>
  <c r="N324" i="1"/>
  <c r="M324" i="1"/>
  <c r="O323" i="1"/>
  <c r="O323" i="1" a="1"/>
  <c r="N323" i="1"/>
  <c r="M323" i="1"/>
  <c r="O322" i="1"/>
  <c r="O322" i="1" a="1"/>
  <c r="N322" i="1"/>
  <c r="M322" i="1"/>
  <c r="O321" i="1"/>
  <c r="O321" i="1" a="1"/>
  <c r="N321" i="1"/>
  <c r="M321" i="1"/>
  <c r="O320" i="1"/>
  <c r="O320" i="1" a="1"/>
  <c r="N320" i="1"/>
  <c r="M320" i="1"/>
  <c r="O319" i="1"/>
  <c r="O319" i="1" a="1"/>
  <c r="N319" i="1"/>
  <c r="M319" i="1"/>
  <c r="O318" i="1"/>
  <c r="O318" i="1" a="1"/>
  <c r="N318" i="1"/>
  <c r="M318" i="1"/>
  <c r="O317" i="1"/>
  <c r="O317" i="1" a="1"/>
  <c r="N317" i="1"/>
  <c r="M317" i="1"/>
  <c r="O316" i="1"/>
  <c r="O316" i="1" a="1"/>
  <c r="N316" i="1"/>
  <c r="M316" i="1"/>
  <c r="O315" i="1"/>
  <c r="O315" i="1" a="1"/>
  <c r="N315" i="1"/>
  <c r="M315" i="1"/>
  <c r="O314" i="1"/>
  <c r="O314" i="1" a="1"/>
  <c r="N314" i="1"/>
  <c r="M314" i="1"/>
  <c r="O313" i="1"/>
  <c r="O313" i="1" a="1"/>
  <c r="N313" i="1"/>
  <c r="M313" i="1"/>
  <c r="O312" i="1"/>
  <c r="O312" i="1" a="1"/>
  <c r="N312" i="1"/>
  <c r="M312" i="1"/>
  <c r="O311" i="1"/>
  <c r="O311" i="1" a="1"/>
  <c r="N311" i="1"/>
  <c r="M311" i="1"/>
  <c r="O310" i="1"/>
  <c r="O310" i="1" a="1"/>
  <c r="N310" i="1"/>
  <c r="M310" i="1"/>
  <c r="O309" i="1"/>
  <c r="O309" i="1" a="1"/>
  <c r="N309" i="1"/>
  <c r="M309" i="1"/>
  <c r="O308" i="1"/>
  <c r="O308" i="1" a="1"/>
  <c r="N308" i="1"/>
  <c r="M308" i="1"/>
  <c r="O307" i="1"/>
  <c r="O307" i="1" a="1"/>
  <c r="N307" i="1"/>
  <c r="M307" i="1"/>
  <c r="O306" i="1"/>
  <c r="O306" i="1" a="1"/>
  <c r="N306" i="1"/>
  <c r="M306" i="1"/>
  <c r="O305" i="1"/>
  <c r="O305" i="1" a="1"/>
  <c r="N305" i="1"/>
  <c r="M305" i="1"/>
  <c r="O304" i="1"/>
  <c r="O304" i="1" a="1"/>
  <c r="N304" i="1"/>
  <c r="M304" i="1"/>
  <c r="O303" i="1"/>
  <c r="O303" i="1" a="1"/>
  <c r="N303" i="1"/>
  <c r="M303" i="1"/>
  <c r="O302" i="1"/>
  <c r="O302" i="1" a="1"/>
  <c r="N302" i="1"/>
  <c r="M302" i="1"/>
  <c r="O301" i="1"/>
  <c r="O301" i="1" a="1"/>
  <c r="N301" i="1"/>
  <c r="M301" i="1"/>
  <c r="O300" i="1"/>
  <c r="O300" i="1" a="1"/>
  <c r="N300" i="1"/>
  <c r="M300" i="1"/>
  <c r="O299" i="1"/>
  <c r="O299" i="1" a="1"/>
  <c r="N299" i="1"/>
  <c r="M299" i="1"/>
  <c r="O298" i="1"/>
  <c r="O298" i="1" a="1"/>
  <c r="N298" i="1"/>
  <c r="M298" i="1"/>
  <c r="O297" i="1"/>
  <c r="O297" i="1" a="1"/>
  <c r="N297" i="1"/>
  <c r="M297" i="1"/>
  <c r="O296" i="1"/>
  <c r="O296" i="1" a="1"/>
  <c r="N296" i="1"/>
  <c r="M296" i="1"/>
  <c r="O295" i="1"/>
  <c r="O295" i="1" a="1"/>
  <c r="N295" i="1"/>
  <c r="M295" i="1"/>
  <c r="O294" i="1"/>
  <c r="O294" i="1" a="1"/>
  <c r="N294" i="1"/>
  <c r="M294" i="1"/>
  <c r="O293" i="1"/>
  <c r="O293" i="1" a="1"/>
  <c r="N293" i="1"/>
  <c r="M293" i="1"/>
  <c r="O292" i="1"/>
  <c r="O292" i="1" a="1"/>
  <c r="N292" i="1"/>
  <c r="M292" i="1"/>
  <c r="O291" i="1"/>
  <c r="O291" i="1" a="1"/>
  <c r="N291" i="1"/>
  <c r="M291" i="1"/>
  <c r="O290" i="1"/>
  <c r="O290" i="1" a="1"/>
  <c r="N290" i="1"/>
  <c r="M290" i="1"/>
  <c r="O289" i="1"/>
  <c r="O289" i="1" a="1"/>
  <c r="N289" i="1"/>
  <c r="M289" i="1"/>
  <c r="O288" i="1"/>
  <c r="O288" i="1" a="1"/>
  <c r="N288" i="1"/>
  <c r="M288" i="1"/>
  <c r="O287" i="1"/>
  <c r="O287" i="1" a="1"/>
  <c r="N287" i="1"/>
  <c r="M287" i="1"/>
  <c r="O286" i="1"/>
  <c r="O286" i="1" a="1"/>
  <c r="N286" i="1"/>
  <c r="M286" i="1"/>
  <c r="O285" i="1"/>
  <c r="O285" i="1" a="1"/>
  <c r="N285" i="1"/>
  <c r="M285" i="1"/>
  <c r="O284" i="1"/>
  <c r="O284" i="1" a="1"/>
  <c r="N284" i="1"/>
  <c r="M284" i="1"/>
  <c r="O283" i="1"/>
  <c r="O283" i="1" a="1"/>
  <c r="N283" i="1"/>
  <c r="M283" i="1"/>
  <c r="O282" i="1"/>
  <c r="O282" i="1" a="1"/>
  <c r="N282" i="1"/>
  <c r="M282" i="1"/>
  <c r="O281" i="1"/>
  <c r="O281" i="1" a="1"/>
  <c r="N281" i="1"/>
  <c r="M281" i="1"/>
  <c r="O280" i="1"/>
  <c r="O280" i="1" a="1"/>
  <c r="N280" i="1"/>
  <c r="M280" i="1"/>
  <c r="O279" i="1"/>
  <c r="O279" i="1" a="1"/>
  <c r="N279" i="1"/>
  <c r="M279" i="1"/>
  <c r="O278" i="1"/>
  <c r="O278" i="1" a="1"/>
  <c r="N278" i="1"/>
  <c r="M278" i="1"/>
  <c r="O277" i="1"/>
  <c r="O277" i="1" a="1"/>
  <c r="N277" i="1"/>
  <c r="M277" i="1"/>
  <c r="O276" i="1"/>
  <c r="O276" i="1" a="1"/>
  <c r="N276" i="1"/>
  <c r="M276" i="1"/>
  <c r="O275" i="1"/>
  <c r="O275" i="1" a="1"/>
  <c r="N275" i="1"/>
  <c r="M275" i="1"/>
  <c r="O274" i="1"/>
  <c r="O274" i="1" a="1"/>
  <c r="N274" i="1"/>
  <c r="M274" i="1"/>
  <c r="O273" i="1"/>
  <c r="O273" i="1" a="1"/>
  <c r="N273" i="1"/>
  <c r="M273" i="1"/>
  <c r="O272" i="1"/>
  <c r="O272" i="1" a="1"/>
  <c r="N272" i="1"/>
  <c r="M272" i="1"/>
  <c r="O271" i="1"/>
  <c r="O271" i="1" a="1"/>
  <c r="N271" i="1"/>
  <c r="M271" i="1"/>
  <c r="O270" i="1"/>
  <c r="O270" i="1" a="1"/>
  <c r="N270" i="1"/>
  <c r="M270" i="1"/>
  <c r="O269" i="1"/>
  <c r="O269" i="1" a="1"/>
  <c r="N269" i="1"/>
  <c r="M269" i="1"/>
  <c r="O268" i="1"/>
  <c r="O268" i="1" a="1"/>
  <c r="N268" i="1"/>
  <c r="M268" i="1"/>
  <c r="O267" i="1"/>
  <c r="O267" i="1" a="1"/>
  <c r="N267" i="1"/>
  <c r="M267" i="1"/>
  <c r="O266" i="1"/>
  <c r="O266" i="1" a="1"/>
  <c r="N266" i="1"/>
  <c r="M266" i="1"/>
  <c r="O265" i="1"/>
  <c r="O265" i="1" a="1"/>
  <c r="N265" i="1"/>
  <c r="M265" i="1"/>
  <c r="O264" i="1"/>
  <c r="O264" i="1" a="1"/>
  <c r="N264" i="1"/>
  <c r="M264" i="1"/>
  <c r="O263" i="1"/>
  <c r="O263" i="1" a="1"/>
  <c r="N263" i="1"/>
  <c r="M263" i="1"/>
  <c r="O262" i="1"/>
  <c r="O262" i="1" a="1"/>
  <c r="N262" i="1"/>
  <c r="M262" i="1"/>
  <c r="O261" i="1"/>
  <c r="O261" i="1" a="1"/>
  <c r="N261" i="1"/>
  <c r="M261" i="1"/>
  <c r="O260" i="1"/>
  <c r="O260" i="1" a="1"/>
  <c r="N260" i="1"/>
  <c r="M260" i="1"/>
  <c r="O259" i="1"/>
  <c r="O259" i="1" a="1"/>
  <c r="N259" i="1"/>
  <c r="M259" i="1"/>
  <c r="O258" i="1"/>
  <c r="O258" i="1" a="1"/>
  <c r="N258" i="1"/>
  <c r="M258" i="1"/>
  <c r="O257" i="1"/>
  <c r="O257" i="1" a="1"/>
  <c r="N257" i="1"/>
  <c r="M257" i="1"/>
  <c r="O256" i="1"/>
  <c r="O256" i="1" a="1"/>
  <c r="N256" i="1"/>
  <c r="M256" i="1"/>
  <c r="O255" i="1"/>
  <c r="O255" i="1" a="1"/>
  <c r="N255" i="1"/>
  <c r="M255" i="1"/>
  <c r="O254" i="1"/>
  <c r="O254" i="1" a="1"/>
  <c r="N254" i="1"/>
  <c r="M254" i="1"/>
  <c r="O253" i="1"/>
  <c r="O253" i="1" a="1"/>
  <c r="N253" i="1"/>
  <c r="M253" i="1"/>
  <c r="O252" i="1"/>
  <c r="O252" i="1" a="1"/>
  <c r="N252" i="1"/>
  <c r="M252" i="1"/>
  <c r="O251" i="1"/>
  <c r="O251" i="1" a="1"/>
  <c r="N251" i="1"/>
  <c r="M251" i="1"/>
  <c r="O250" i="1"/>
  <c r="O250" i="1" a="1"/>
  <c r="N250" i="1"/>
  <c r="M250" i="1"/>
  <c r="O249" i="1"/>
  <c r="O249" i="1" a="1"/>
  <c r="N249" i="1"/>
  <c r="M249" i="1"/>
  <c r="O248" i="1"/>
  <c r="O248" i="1" a="1"/>
  <c r="N248" i="1"/>
  <c r="M248" i="1"/>
  <c r="O247" i="1"/>
  <c r="O247" i="1" a="1"/>
  <c r="N247" i="1"/>
  <c r="M247" i="1"/>
  <c r="O246" i="1"/>
  <c r="O246" i="1" a="1"/>
  <c r="N246" i="1"/>
  <c r="M246" i="1"/>
  <c r="O245" i="1"/>
  <c r="O245" i="1" a="1"/>
  <c r="N245" i="1"/>
  <c r="M245" i="1"/>
  <c r="O244" i="1"/>
  <c r="O244" i="1" a="1"/>
  <c r="N244" i="1"/>
  <c r="M244" i="1"/>
  <c r="O243" i="1"/>
  <c r="O243" i="1" a="1"/>
  <c r="N243" i="1"/>
  <c r="M243" i="1"/>
  <c r="O242" i="1"/>
  <c r="O242" i="1" a="1"/>
  <c r="N242" i="1"/>
  <c r="M242" i="1"/>
  <c r="O241" i="1"/>
  <c r="O241" i="1" a="1"/>
  <c r="N241" i="1"/>
  <c r="M241" i="1"/>
  <c r="O240" i="1"/>
  <c r="O240" i="1" a="1"/>
  <c r="N240" i="1"/>
  <c r="M240" i="1"/>
  <c r="O239" i="1"/>
  <c r="O239" i="1" a="1"/>
  <c r="N239" i="1"/>
  <c r="M239" i="1"/>
  <c r="O238" i="1"/>
  <c r="O238" i="1" a="1"/>
  <c r="N238" i="1"/>
  <c r="M238" i="1"/>
  <c r="O237" i="1"/>
  <c r="O237" i="1" a="1"/>
  <c r="N237" i="1"/>
  <c r="M237" i="1"/>
  <c r="O236" i="1"/>
  <c r="O236" i="1" a="1"/>
  <c r="N236" i="1"/>
  <c r="M236" i="1"/>
  <c r="O235" i="1"/>
  <c r="O235" i="1" a="1"/>
  <c r="N235" i="1"/>
  <c r="M235" i="1"/>
  <c r="O234" i="1"/>
  <c r="O234" i="1" a="1"/>
  <c r="N234" i="1"/>
  <c r="M234" i="1"/>
  <c r="O233" i="1"/>
  <c r="O233" i="1" a="1"/>
  <c r="N233" i="1"/>
  <c r="M233" i="1"/>
  <c r="O232" i="1"/>
  <c r="O232" i="1" a="1"/>
  <c r="N232" i="1"/>
  <c r="M232" i="1"/>
  <c r="O231" i="1"/>
  <c r="O231" i="1" a="1"/>
  <c r="N231" i="1"/>
  <c r="M231" i="1"/>
  <c r="O230" i="1"/>
  <c r="O230" i="1" a="1"/>
  <c r="N230" i="1"/>
  <c r="M230" i="1"/>
  <c r="O229" i="1"/>
  <c r="O229" i="1" a="1"/>
  <c r="N229" i="1"/>
  <c r="M229" i="1"/>
  <c r="O228" i="1"/>
  <c r="O228" i="1" a="1"/>
  <c r="N228" i="1"/>
  <c r="M228" i="1"/>
  <c r="O227" i="1"/>
  <c r="O227" i="1" a="1"/>
  <c r="N227" i="1"/>
  <c r="M227" i="1"/>
  <c r="O226" i="1"/>
  <c r="O226" i="1" a="1"/>
  <c r="N226" i="1"/>
  <c r="M226" i="1"/>
  <c r="O225" i="1"/>
  <c r="O225" i="1" a="1"/>
  <c r="N225" i="1"/>
  <c r="M225" i="1"/>
  <c r="O224" i="1"/>
  <c r="O224" i="1" a="1"/>
  <c r="N224" i="1"/>
  <c r="M224" i="1"/>
  <c r="O223" i="1"/>
  <c r="O223" i="1" a="1"/>
  <c r="N223" i="1"/>
  <c r="M223" i="1"/>
  <c r="O222" i="1"/>
  <c r="O222" i="1" a="1"/>
  <c r="N222" i="1"/>
  <c r="M222" i="1"/>
  <c r="O221" i="1"/>
  <c r="O221" i="1" a="1"/>
  <c r="N221" i="1"/>
  <c r="M221" i="1"/>
  <c r="O220" i="1"/>
  <c r="O220" i="1" a="1"/>
  <c r="N220" i="1"/>
  <c r="M220" i="1"/>
  <c r="O219" i="1"/>
  <c r="O219" i="1" a="1"/>
  <c r="N219" i="1"/>
  <c r="M219" i="1"/>
  <c r="O218" i="1"/>
  <c r="O218" i="1" a="1"/>
  <c r="N218" i="1"/>
  <c r="M218" i="1"/>
  <c r="O217" i="1"/>
  <c r="O217" i="1" a="1"/>
  <c r="N217" i="1"/>
  <c r="M217" i="1"/>
  <c r="O216" i="1"/>
  <c r="O216" i="1" a="1"/>
  <c r="N216" i="1"/>
  <c r="M216" i="1"/>
  <c r="O215" i="1"/>
  <c r="O215" i="1" a="1"/>
  <c r="N215" i="1"/>
  <c r="M215" i="1"/>
  <c r="O214" i="1"/>
  <c r="O214" i="1" a="1"/>
  <c r="N214" i="1"/>
  <c r="M214" i="1"/>
  <c r="O213" i="1"/>
  <c r="O213" i="1" a="1"/>
  <c r="N213" i="1"/>
  <c r="M213" i="1"/>
  <c r="O212" i="1"/>
  <c r="O212" i="1" a="1"/>
  <c r="N212" i="1"/>
  <c r="M212" i="1"/>
  <c r="O211" i="1"/>
  <c r="O211" i="1" a="1"/>
  <c r="N211" i="1"/>
  <c r="M211" i="1"/>
  <c r="O210" i="1"/>
  <c r="O210" i="1" a="1"/>
  <c r="N210" i="1"/>
  <c r="M210" i="1"/>
  <c r="O209" i="1"/>
  <c r="O209" i="1" a="1"/>
  <c r="N209" i="1"/>
  <c r="M209" i="1"/>
  <c r="O208" i="1"/>
  <c r="O208" i="1" a="1"/>
  <c r="N208" i="1"/>
  <c r="M208" i="1"/>
  <c r="O207" i="1"/>
  <c r="O207" i="1" a="1"/>
  <c r="N207" i="1"/>
  <c r="M207" i="1"/>
  <c r="O206" i="1"/>
  <c r="O206" i="1" a="1"/>
  <c r="N206" i="1"/>
  <c r="M206" i="1"/>
  <c r="O205" i="1"/>
  <c r="O205" i="1" a="1"/>
  <c r="N205" i="1"/>
  <c r="M205" i="1"/>
  <c r="O204" i="1"/>
  <c r="O204" i="1" a="1"/>
  <c r="N204" i="1"/>
  <c r="M204" i="1"/>
  <c r="O203" i="1"/>
  <c r="O203" i="1" a="1"/>
  <c r="N203" i="1"/>
  <c r="M203" i="1"/>
  <c r="O202" i="1"/>
  <c r="O202" i="1" a="1"/>
  <c r="N202" i="1"/>
  <c r="M202" i="1"/>
  <c r="O201" i="1"/>
  <c r="O201" i="1" a="1"/>
  <c r="N201" i="1"/>
  <c r="M201" i="1"/>
  <c r="O200" i="1"/>
  <c r="O200" i="1" a="1"/>
  <c r="N200" i="1"/>
  <c r="M200" i="1"/>
  <c r="O199" i="1"/>
  <c r="O199" i="1" a="1"/>
  <c r="N199" i="1"/>
  <c r="M199" i="1"/>
  <c r="O198" i="1"/>
  <c r="O198" i="1" a="1"/>
  <c r="N198" i="1"/>
  <c r="M198" i="1"/>
  <c r="O197" i="1"/>
  <c r="O197" i="1" a="1"/>
  <c r="N197" i="1"/>
  <c r="M197" i="1"/>
  <c r="O196" i="1"/>
  <c r="O196" i="1" a="1"/>
  <c r="N196" i="1"/>
  <c r="M196" i="1"/>
  <c r="O195" i="1"/>
  <c r="O195" i="1" a="1"/>
  <c r="N195" i="1"/>
  <c r="M195" i="1"/>
  <c r="O194" i="1"/>
  <c r="O194" i="1" a="1"/>
  <c r="N194" i="1"/>
  <c r="M194" i="1"/>
  <c r="O193" i="1"/>
  <c r="O193" i="1" a="1"/>
  <c r="N193" i="1"/>
  <c r="M193" i="1"/>
  <c r="O192" i="1"/>
  <c r="O192" i="1" a="1"/>
  <c r="N192" i="1"/>
  <c r="M192" i="1"/>
  <c r="O191" i="1"/>
  <c r="O191" i="1" a="1"/>
  <c r="N191" i="1"/>
  <c r="M191" i="1"/>
  <c r="O190" i="1"/>
  <c r="O190" i="1" a="1"/>
  <c r="N190" i="1"/>
  <c r="M190" i="1"/>
  <c r="O189" i="1"/>
  <c r="O189" i="1" a="1"/>
  <c r="N189" i="1"/>
  <c r="M189" i="1"/>
  <c r="O188" i="1"/>
  <c r="O188" i="1" a="1"/>
  <c r="N188" i="1"/>
  <c r="M188" i="1"/>
  <c r="O187" i="1"/>
  <c r="O187" i="1" a="1"/>
  <c r="N187" i="1"/>
  <c r="M187" i="1"/>
  <c r="O186" i="1"/>
  <c r="O186" i="1" a="1"/>
  <c r="N186" i="1"/>
  <c r="M186" i="1"/>
  <c r="O185" i="1"/>
  <c r="O185" i="1" a="1"/>
  <c r="N185" i="1"/>
  <c r="M185" i="1"/>
  <c r="O184" i="1"/>
  <c r="O184" i="1" a="1"/>
  <c r="N184" i="1"/>
  <c r="M184" i="1"/>
  <c r="O183" i="1"/>
  <c r="O183" i="1" a="1"/>
  <c r="N183" i="1"/>
  <c r="M183" i="1"/>
  <c r="O182" i="1"/>
  <c r="O182" i="1" a="1"/>
  <c r="N182" i="1"/>
  <c r="M182" i="1"/>
  <c r="O181" i="1"/>
  <c r="O181" i="1" a="1"/>
  <c r="N181" i="1"/>
  <c r="M181" i="1"/>
  <c r="O180" i="1"/>
  <c r="O180" i="1" a="1"/>
  <c r="N180" i="1"/>
  <c r="M180" i="1"/>
  <c r="O179" i="1"/>
  <c r="O179" i="1" a="1"/>
  <c r="N179" i="1"/>
  <c r="M179" i="1"/>
  <c r="O178" i="1"/>
  <c r="O178" i="1" a="1"/>
  <c r="N178" i="1"/>
  <c r="M178" i="1"/>
  <c r="O177" i="1"/>
  <c r="O177" i="1" a="1"/>
  <c r="N177" i="1"/>
  <c r="M177" i="1"/>
  <c r="O176" i="1"/>
  <c r="O176" i="1" a="1"/>
  <c r="N176" i="1"/>
  <c r="M176" i="1"/>
  <c r="O175" i="1"/>
  <c r="O175" i="1" a="1"/>
  <c r="N175" i="1"/>
  <c r="M175" i="1"/>
  <c r="O174" i="1"/>
  <c r="O174" i="1" a="1"/>
  <c r="N174" i="1"/>
  <c r="M174" i="1"/>
  <c r="O173" i="1"/>
  <c r="O173" i="1" a="1"/>
  <c r="N173" i="1"/>
  <c r="M173" i="1"/>
  <c r="O172" i="1"/>
  <c r="O172" i="1" a="1"/>
  <c r="N172" i="1"/>
  <c r="M172" i="1"/>
  <c r="O171" i="1"/>
  <c r="O171" i="1" a="1"/>
  <c r="N171" i="1"/>
  <c r="M171" i="1"/>
  <c r="O170" i="1"/>
  <c r="O170" i="1" a="1"/>
  <c r="N170" i="1"/>
  <c r="M170" i="1"/>
  <c r="O169" i="1"/>
  <c r="O169" i="1" a="1"/>
  <c r="N169" i="1"/>
  <c r="M169" i="1"/>
  <c r="O168" i="1"/>
  <c r="O168" i="1" a="1"/>
  <c r="N168" i="1"/>
  <c r="M168" i="1"/>
  <c r="O167" i="1"/>
  <c r="O167" i="1" a="1"/>
  <c r="N167" i="1"/>
  <c r="M167" i="1"/>
  <c r="O166" i="1"/>
  <c r="O166" i="1" a="1"/>
  <c r="N166" i="1"/>
  <c r="M166" i="1"/>
  <c r="O165" i="1"/>
  <c r="O165" i="1" a="1"/>
  <c r="N165" i="1"/>
  <c r="M165" i="1"/>
  <c r="O164" i="1"/>
  <c r="O164" i="1" a="1"/>
  <c r="N164" i="1"/>
  <c r="M164" i="1"/>
  <c r="O163" i="1"/>
  <c r="O163" i="1" a="1"/>
  <c r="N163" i="1"/>
  <c r="M163" i="1"/>
  <c r="O162" i="1"/>
  <c r="O162" i="1" a="1"/>
  <c r="N162" i="1"/>
  <c r="M162" i="1"/>
  <c r="O161" i="1"/>
  <c r="O161" i="1" a="1"/>
  <c r="N161" i="1"/>
  <c r="M161" i="1"/>
  <c r="O160" i="1"/>
  <c r="O160" i="1" a="1"/>
  <c r="N160" i="1"/>
  <c r="M160" i="1"/>
  <c r="O159" i="1"/>
  <c r="O159" i="1" a="1"/>
  <c r="N159" i="1"/>
  <c r="M159" i="1"/>
  <c r="O158" i="1"/>
  <c r="O158" i="1" a="1"/>
  <c r="N158" i="1"/>
  <c r="M158" i="1"/>
  <c r="O157" i="1"/>
  <c r="O157" i="1" a="1"/>
  <c r="N157" i="1"/>
  <c r="M157" i="1"/>
  <c r="O156" i="1"/>
  <c r="O156" i="1" a="1"/>
  <c r="N156" i="1"/>
  <c r="M156" i="1"/>
  <c r="O155" i="1"/>
  <c r="O155" i="1" a="1"/>
  <c r="N155" i="1"/>
  <c r="M155" i="1"/>
  <c r="O154" i="1"/>
  <c r="O154" i="1" a="1"/>
  <c r="N154" i="1"/>
  <c r="M154" i="1"/>
  <c r="O153" i="1"/>
  <c r="O153" i="1" a="1"/>
  <c r="N153" i="1"/>
  <c r="M153" i="1"/>
  <c r="O152" i="1"/>
  <c r="O152" i="1" a="1"/>
  <c r="N152" i="1"/>
  <c r="M152" i="1"/>
  <c r="O151" i="1"/>
  <c r="O151" i="1" a="1"/>
  <c r="N151" i="1"/>
  <c r="M151" i="1"/>
  <c r="O150" i="1"/>
  <c r="O150" i="1" a="1"/>
  <c r="N150" i="1"/>
  <c r="M150" i="1"/>
  <c r="O149" i="1"/>
  <c r="O149" i="1" a="1"/>
  <c r="N149" i="1"/>
  <c r="M149" i="1"/>
  <c r="O148" i="1"/>
  <c r="O148" i="1" a="1"/>
  <c r="N148" i="1"/>
  <c r="M148" i="1"/>
  <c r="O147" i="1"/>
  <c r="O147" i="1" a="1"/>
  <c r="N147" i="1"/>
  <c r="M147" i="1"/>
  <c r="O146" i="1"/>
  <c r="O146" i="1" a="1"/>
  <c r="N146" i="1"/>
  <c r="M146" i="1"/>
  <c r="O145" i="1"/>
  <c r="O145" i="1" a="1"/>
  <c r="N145" i="1"/>
  <c r="M145" i="1"/>
  <c r="O144" i="1"/>
  <c r="O144" i="1" a="1"/>
  <c r="N144" i="1"/>
  <c r="M144" i="1"/>
  <c r="O143" i="1"/>
  <c r="O143" i="1" a="1"/>
  <c r="N143" i="1"/>
  <c r="M143" i="1"/>
  <c r="O142" i="1"/>
  <c r="O142" i="1" a="1"/>
  <c r="N142" i="1"/>
  <c r="M142" i="1"/>
  <c r="O141" i="1"/>
  <c r="O141" i="1" a="1"/>
  <c r="N141" i="1"/>
  <c r="M141" i="1"/>
  <c r="O140" i="1"/>
  <c r="O140" i="1" a="1"/>
  <c r="N140" i="1"/>
  <c r="M140" i="1"/>
  <c r="O139" i="1"/>
  <c r="O139" i="1" a="1"/>
  <c r="N139" i="1"/>
  <c r="M139" i="1"/>
  <c r="O138" i="1"/>
  <c r="O138" i="1" a="1"/>
  <c r="N138" i="1"/>
  <c r="M138" i="1"/>
  <c r="O137" i="1"/>
  <c r="O137" i="1" a="1"/>
  <c r="N137" i="1"/>
  <c r="M137" i="1"/>
  <c r="O136" i="1"/>
  <c r="O136" i="1" a="1"/>
  <c r="N136" i="1"/>
  <c r="M136" i="1"/>
  <c r="O135" i="1"/>
  <c r="O135" i="1" a="1"/>
  <c r="N135" i="1"/>
  <c r="M135" i="1"/>
  <c r="O134" i="1"/>
  <c r="O134" i="1" a="1"/>
  <c r="N134" i="1"/>
  <c r="M134" i="1"/>
  <c r="O133" i="1"/>
  <c r="O133" i="1" a="1"/>
  <c r="N133" i="1"/>
  <c r="M133" i="1"/>
  <c r="O132" i="1"/>
  <c r="O132" i="1" a="1"/>
  <c r="N132" i="1"/>
  <c r="M132" i="1"/>
  <c r="O131" i="1"/>
  <c r="O131" i="1" a="1"/>
  <c r="N131" i="1"/>
  <c r="M131" i="1"/>
  <c r="O130" i="1"/>
  <c r="O130" i="1" a="1"/>
  <c r="N130" i="1"/>
  <c r="M130" i="1"/>
  <c r="O129" i="1"/>
  <c r="O129" i="1" a="1"/>
  <c r="N129" i="1"/>
  <c r="M129" i="1"/>
  <c r="O128" i="1"/>
  <c r="O128" i="1" a="1"/>
  <c r="N128" i="1"/>
  <c r="M128" i="1"/>
  <c r="O127" i="1"/>
  <c r="O127" i="1" a="1"/>
  <c r="N127" i="1"/>
  <c r="M127" i="1"/>
  <c r="O126" i="1"/>
  <c r="O126" i="1" a="1"/>
  <c r="N126" i="1"/>
  <c r="M126" i="1"/>
  <c r="O125" i="1"/>
  <c r="O125" i="1" a="1"/>
  <c r="N125" i="1"/>
  <c r="M125" i="1"/>
  <c r="O124" i="1"/>
  <c r="O124" i="1" a="1"/>
  <c r="N124" i="1"/>
  <c r="M124" i="1"/>
  <c r="O123" i="1"/>
  <c r="O123" i="1" a="1"/>
  <c r="N123" i="1"/>
  <c r="M123" i="1"/>
  <c r="O122" i="1"/>
  <c r="O122" i="1" a="1"/>
  <c r="N122" i="1"/>
  <c r="M122" i="1"/>
  <c r="O121" i="1"/>
  <c r="O121" i="1" a="1"/>
  <c r="N121" i="1"/>
  <c r="M121" i="1"/>
  <c r="O120" i="1"/>
  <c r="O120" i="1" a="1"/>
  <c r="N120" i="1"/>
  <c r="M120" i="1"/>
  <c r="O119" i="1"/>
  <c r="O119" i="1" a="1"/>
  <c r="N119" i="1"/>
  <c r="M119" i="1"/>
  <c r="O118" i="1"/>
  <c r="O118" i="1" a="1"/>
  <c r="N118" i="1"/>
  <c r="M118" i="1"/>
  <c r="O117" i="1"/>
  <c r="O117" i="1" a="1"/>
  <c r="N117" i="1"/>
  <c r="M117" i="1"/>
  <c r="O116" i="1"/>
  <c r="O116" i="1" a="1"/>
  <c r="N116" i="1"/>
  <c r="M116" i="1"/>
  <c r="O115" i="1"/>
  <c r="O115" i="1" a="1"/>
  <c r="N115" i="1"/>
  <c r="M115" i="1"/>
  <c r="O114" i="1"/>
  <c r="O114" i="1" a="1"/>
  <c r="N114" i="1"/>
  <c r="M114" i="1"/>
  <c r="O113" i="1"/>
  <c r="O113" i="1" a="1"/>
  <c r="N113" i="1"/>
  <c r="M113" i="1"/>
  <c r="O112" i="1"/>
  <c r="O112" i="1" a="1"/>
  <c r="N112" i="1"/>
  <c r="M112" i="1"/>
  <c r="O111" i="1"/>
  <c r="O111" i="1" a="1"/>
  <c r="N111" i="1"/>
  <c r="M111" i="1"/>
  <c r="O110" i="1"/>
  <c r="O110" i="1" a="1"/>
  <c r="N110" i="1"/>
  <c r="M110" i="1"/>
  <c r="O109" i="1"/>
  <c r="O109" i="1" a="1"/>
  <c r="N109" i="1"/>
  <c r="M109" i="1"/>
  <c r="O108" i="1"/>
  <c r="O108" i="1" a="1"/>
  <c r="N108" i="1"/>
  <c r="M108" i="1"/>
  <c r="O107" i="1"/>
  <c r="O107" i="1" a="1"/>
  <c r="N107" i="1"/>
  <c r="M107" i="1"/>
  <c r="O106" i="1"/>
  <c r="O106" i="1" a="1"/>
  <c r="N106" i="1"/>
  <c r="M106" i="1"/>
  <c r="O105" i="1"/>
  <c r="O105" i="1" a="1"/>
  <c r="N105" i="1"/>
  <c r="M105" i="1"/>
  <c r="O104" i="1"/>
  <c r="O104" i="1" a="1"/>
  <c r="N104" i="1"/>
  <c r="M104" i="1"/>
  <c r="O103" i="1"/>
  <c r="O103" i="1" a="1"/>
  <c r="N103" i="1"/>
  <c r="M103" i="1"/>
  <c r="O102" i="1"/>
  <c r="O102" i="1" a="1"/>
  <c r="N102" i="1"/>
  <c r="M102" i="1"/>
  <c r="O101" i="1"/>
  <c r="O101" i="1" a="1"/>
  <c r="N101" i="1"/>
  <c r="M101" i="1"/>
  <c r="O100" i="1"/>
  <c r="O100" i="1" a="1"/>
  <c r="N100" i="1"/>
  <c r="M100" i="1"/>
  <c r="O99" i="1"/>
  <c r="O99" i="1" a="1"/>
  <c r="N99" i="1"/>
  <c r="M99" i="1"/>
  <c r="O98" i="1"/>
  <c r="O98" i="1" a="1"/>
  <c r="N98" i="1"/>
  <c r="M98" i="1"/>
  <c r="O97" i="1"/>
  <c r="O97" i="1" a="1"/>
  <c r="N97" i="1"/>
  <c r="M97" i="1"/>
  <c r="O96" i="1"/>
  <c r="O96" i="1" a="1"/>
  <c r="N96" i="1"/>
  <c r="M96" i="1"/>
  <c r="O95" i="1"/>
  <c r="O95" i="1" a="1"/>
  <c r="N95" i="1"/>
  <c r="M95" i="1"/>
  <c r="O94" i="1"/>
  <c r="O94" i="1" a="1"/>
  <c r="N94" i="1"/>
  <c r="M94" i="1"/>
  <c r="O93" i="1"/>
  <c r="O93" i="1" a="1"/>
  <c r="N93" i="1"/>
  <c r="M93" i="1"/>
  <c r="O92" i="1"/>
  <c r="O92" i="1" a="1"/>
  <c r="N92" i="1"/>
  <c r="M92" i="1"/>
  <c r="O91" i="1"/>
  <c r="O91" i="1" a="1"/>
  <c r="N91" i="1"/>
  <c r="M91" i="1"/>
  <c r="O90" i="1"/>
  <c r="O90" i="1" a="1"/>
  <c r="N90" i="1"/>
  <c r="M90" i="1"/>
  <c r="O89" i="1"/>
  <c r="O89" i="1" a="1"/>
  <c r="N89" i="1"/>
  <c r="M89" i="1"/>
  <c r="O88" i="1"/>
  <c r="O88" i="1" a="1"/>
  <c r="N88" i="1"/>
  <c r="M88" i="1"/>
  <c r="O87" i="1"/>
  <c r="O87" i="1" a="1"/>
  <c r="N87" i="1"/>
  <c r="M87" i="1"/>
  <c r="O86" i="1"/>
  <c r="O86" i="1" a="1"/>
  <c r="N86" i="1"/>
  <c r="M86" i="1"/>
  <c r="O85" i="1"/>
  <c r="O85" i="1" a="1"/>
  <c r="N85" i="1"/>
  <c r="M85" i="1"/>
  <c r="O84" i="1"/>
  <c r="O84" i="1" a="1"/>
  <c r="N84" i="1"/>
  <c r="M84" i="1"/>
  <c r="O83" i="1"/>
  <c r="O83" i="1" a="1"/>
  <c r="N83" i="1"/>
  <c r="M83" i="1"/>
  <c r="O82" i="1"/>
  <c r="O82" i="1" a="1"/>
  <c r="N82" i="1"/>
  <c r="M82" i="1"/>
  <c r="O81" i="1"/>
  <c r="O81" i="1" a="1"/>
  <c r="N81" i="1"/>
  <c r="M81" i="1"/>
  <c r="O80" i="1"/>
  <c r="O80" i="1" a="1"/>
  <c r="N80" i="1"/>
  <c r="M80" i="1"/>
  <c r="O79" i="1"/>
  <c r="O79" i="1" a="1"/>
  <c r="N79" i="1"/>
  <c r="M79" i="1"/>
  <c r="O78" i="1"/>
  <c r="O78" i="1" a="1"/>
  <c r="N78" i="1"/>
  <c r="M78" i="1"/>
  <c r="O77" i="1"/>
  <c r="O77" i="1" a="1"/>
  <c r="N77" i="1"/>
  <c r="M77" i="1"/>
  <c r="O76" i="1"/>
  <c r="O76" i="1" a="1"/>
  <c r="N76" i="1"/>
  <c r="M76" i="1"/>
  <c r="O75" i="1"/>
  <c r="O75" i="1" a="1"/>
  <c r="N75" i="1"/>
  <c r="M75" i="1"/>
  <c r="O74" i="1"/>
  <c r="O74" i="1" a="1"/>
  <c r="N74" i="1"/>
  <c r="M74" i="1"/>
  <c r="O73" i="1"/>
  <c r="O73" i="1" a="1"/>
  <c r="N73" i="1"/>
  <c r="M73" i="1"/>
  <c r="O72" i="1"/>
  <c r="O72" i="1" a="1"/>
  <c r="N72" i="1"/>
  <c r="M72" i="1"/>
  <c r="O71" i="1"/>
  <c r="O71" i="1" a="1"/>
  <c r="N71" i="1"/>
  <c r="M71" i="1"/>
  <c r="O70" i="1"/>
  <c r="O70" i="1" a="1"/>
  <c r="N70" i="1"/>
  <c r="M70" i="1"/>
  <c r="O69" i="1"/>
  <c r="O69" i="1" a="1"/>
  <c r="N69" i="1"/>
  <c r="M69" i="1"/>
  <c r="O68" i="1"/>
  <c r="O68" i="1" a="1"/>
  <c r="N68" i="1"/>
  <c r="M68" i="1"/>
  <c r="O67" i="1"/>
  <c r="O67" i="1" a="1"/>
  <c r="N67" i="1"/>
  <c r="M67" i="1"/>
  <c r="O66" i="1"/>
  <c r="O66" i="1" a="1"/>
  <c r="N66" i="1"/>
  <c r="M66" i="1"/>
  <c r="O65" i="1"/>
  <c r="O65" i="1" a="1"/>
  <c r="N65" i="1"/>
  <c r="M65" i="1"/>
  <c r="O64" i="1"/>
  <c r="O64" i="1" a="1"/>
  <c r="N64" i="1"/>
  <c r="M64" i="1"/>
  <c r="O63" i="1"/>
  <c r="O63" i="1" a="1"/>
  <c r="N63" i="1"/>
  <c r="M63" i="1"/>
  <c r="O62" i="1"/>
  <c r="O62" i="1" a="1"/>
  <c r="N62" i="1"/>
  <c r="M62" i="1"/>
  <c r="O61" i="1"/>
  <c r="O61" i="1" a="1"/>
  <c r="N61" i="1"/>
  <c r="M61" i="1"/>
  <c r="O60" i="1"/>
  <c r="O60" i="1" a="1"/>
  <c r="N60" i="1"/>
  <c r="M60" i="1"/>
  <c r="O59" i="1"/>
  <c r="O59" i="1" a="1"/>
  <c r="N59" i="1"/>
  <c r="M59" i="1"/>
  <c r="O58" i="1"/>
  <c r="O58" i="1" a="1"/>
  <c r="N58" i="1"/>
  <c r="M58" i="1"/>
  <c r="O57" i="1"/>
  <c r="O57" i="1" a="1"/>
  <c r="N57" i="1"/>
  <c r="M57" i="1"/>
  <c r="O56" i="1"/>
  <c r="O56" i="1" a="1"/>
  <c r="N56" i="1"/>
  <c r="M56" i="1"/>
  <c r="O55" i="1"/>
  <c r="O55" i="1" a="1"/>
  <c r="N55" i="1"/>
  <c r="M55" i="1"/>
  <c r="O54" i="1"/>
  <c r="O54" i="1" a="1"/>
  <c r="N54" i="1"/>
  <c r="M54" i="1"/>
  <c r="O53" i="1"/>
  <c r="O53" i="1" a="1"/>
  <c r="N53" i="1"/>
  <c r="M53" i="1"/>
  <c r="O52" i="1"/>
  <c r="O52" i="1" a="1"/>
  <c r="N52" i="1"/>
  <c r="M52" i="1"/>
  <c r="O51" i="1"/>
  <c r="O51" i="1" a="1"/>
  <c r="N51" i="1"/>
  <c r="M51" i="1"/>
  <c r="O50" i="1"/>
  <c r="O50" i="1" a="1"/>
  <c r="N50" i="1"/>
  <c r="M50" i="1"/>
  <c r="O49" i="1"/>
  <c r="O49" i="1" a="1"/>
  <c r="N49" i="1"/>
  <c r="M49" i="1"/>
  <c r="O48" i="1"/>
  <c r="O48" i="1" a="1"/>
  <c r="N48" i="1"/>
  <c r="M48" i="1"/>
  <c r="O47" i="1"/>
  <c r="O47" i="1" a="1"/>
  <c r="N47" i="1"/>
  <c r="M47" i="1"/>
  <c r="O46" i="1"/>
  <c r="O46" i="1" a="1"/>
  <c r="N46" i="1"/>
  <c r="M46" i="1"/>
  <c r="O45" i="1"/>
  <c r="O45" i="1" a="1"/>
  <c r="N45" i="1"/>
  <c r="M45" i="1"/>
  <c r="O44" i="1"/>
  <c r="O44" i="1" a="1"/>
  <c r="N44" i="1"/>
  <c r="M44" i="1"/>
  <c r="O43" i="1"/>
  <c r="O43" i="1" a="1"/>
  <c r="N43" i="1"/>
  <c r="M43" i="1"/>
  <c r="O42" i="1"/>
  <c r="O42" i="1" a="1"/>
  <c r="N42" i="1"/>
  <c r="M42" i="1"/>
  <c r="O41" i="1"/>
  <c r="O41" i="1" a="1"/>
  <c r="N41" i="1"/>
  <c r="M41" i="1"/>
  <c r="O40" i="1"/>
  <c r="O40" i="1" a="1"/>
  <c r="N40" i="1"/>
  <c r="M40" i="1"/>
  <c r="O39" i="1"/>
  <c r="O39" i="1" a="1"/>
  <c r="N39" i="1"/>
  <c r="M39" i="1"/>
  <c r="O38" i="1"/>
  <c r="O38" i="1" a="1"/>
  <c r="N38" i="1"/>
  <c r="M38" i="1"/>
  <c r="O37" i="1"/>
  <c r="O37" i="1" a="1"/>
  <c r="N37" i="1"/>
  <c r="M37" i="1"/>
  <c r="O36" i="1"/>
  <c r="O36" i="1" a="1"/>
  <c r="N36" i="1"/>
  <c r="M36" i="1"/>
  <c r="O35" i="1"/>
  <c r="O35" i="1" a="1"/>
  <c r="N35" i="1"/>
  <c r="M35" i="1"/>
  <c r="O34" i="1"/>
  <c r="O34" i="1" a="1"/>
  <c r="N34" i="1"/>
  <c r="M34" i="1"/>
  <c r="O33" i="1"/>
  <c r="O33" i="1" a="1"/>
  <c r="N33" i="1"/>
  <c r="M33" i="1"/>
  <c r="O32" i="1"/>
  <c r="O32" i="1" a="1"/>
  <c r="N32" i="1"/>
  <c r="M32" i="1"/>
  <c r="O31" i="1"/>
  <c r="O31" i="1" a="1"/>
  <c r="N31" i="1"/>
  <c r="M31" i="1"/>
  <c r="O30" i="1"/>
  <c r="O30" i="1" a="1"/>
  <c r="N30" i="1"/>
  <c r="M30" i="1"/>
  <c r="O29" i="1"/>
  <c r="O29" i="1" a="1"/>
  <c r="N29" i="1"/>
  <c r="M29" i="1"/>
  <c r="O28" i="1"/>
  <c r="O28" i="1" a="1"/>
  <c r="N28" i="1"/>
  <c r="M28" i="1"/>
  <c r="O27" i="1"/>
  <c r="O27" i="1" a="1"/>
  <c r="N27" i="1"/>
  <c r="M27" i="1"/>
  <c r="O26" i="1"/>
  <c r="O26" i="1" a="1"/>
  <c r="N26" i="1"/>
  <c r="M26" i="1"/>
  <c r="O25" i="1"/>
  <c r="O25" i="1" a="1"/>
  <c r="N25" i="1"/>
  <c r="M25" i="1"/>
  <c r="O24" i="1"/>
  <c r="O24" i="1" a="1"/>
  <c r="N24" i="1"/>
  <c r="M24" i="1"/>
  <c r="O23" i="1"/>
  <c r="O23" i="1" a="1"/>
  <c r="N23" i="1"/>
  <c r="M23" i="1"/>
  <c r="O22" i="1"/>
  <c r="O22" i="1" a="1"/>
  <c r="N22" i="1"/>
  <c r="M22" i="1"/>
  <c r="O21" i="1"/>
  <c r="O21" i="1" a="1"/>
  <c r="N21" i="1"/>
  <c r="M21" i="1"/>
  <c r="O20" i="1"/>
  <c r="O20" i="1" a="1"/>
  <c r="N20" i="1"/>
  <c r="M20" i="1"/>
  <c r="O19" i="1"/>
  <c r="O19" i="1" a="1"/>
  <c r="N19" i="1"/>
  <c r="M19" i="1"/>
  <c r="O18" i="1"/>
  <c r="O18" i="1" a="1"/>
  <c r="N18" i="1"/>
  <c r="M18" i="1"/>
  <c r="O17" i="1"/>
  <c r="O17" i="1" a="1"/>
  <c r="N17" i="1"/>
  <c r="M17" i="1"/>
  <c r="O16" i="1"/>
  <c r="O16" i="1" a="1"/>
  <c r="N16" i="1"/>
  <c r="M16" i="1"/>
  <c r="O15" i="1"/>
  <c r="O15" i="1" a="1"/>
  <c r="N15" i="1"/>
  <c r="M15" i="1"/>
  <c r="O14" i="1"/>
  <c r="O14" i="1" a="1"/>
  <c r="N14" i="1"/>
  <c r="M14" i="1"/>
  <c r="O13" i="1"/>
  <c r="O13" i="1" a="1"/>
  <c r="N13" i="1"/>
  <c r="M13" i="1"/>
  <c r="O12" i="1"/>
  <c r="O12" i="1" a="1"/>
  <c r="N12" i="1"/>
  <c r="M12" i="1"/>
  <c r="O11" i="1"/>
  <c r="O11" i="1" a="1"/>
  <c r="N11" i="1"/>
  <c r="M11" i="1"/>
  <c r="O10" i="1"/>
  <c r="O10" i="1" a="1"/>
  <c r="N10" i="1"/>
  <c r="M10" i="1"/>
  <c r="O9" i="1"/>
  <c r="O9" i="1" a="1"/>
  <c r="N9" i="1"/>
  <c r="M9" i="1"/>
  <c r="O8" i="1"/>
  <c r="O8" i="1" a="1"/>
  <c r="N8" i="1"/>
  <c r="M8" i="1"/>
  <c r="O7" i="1"/>
  <c r="O7" i="1" a="1"/>
  <c r="N7" i="1"/>
  <c r="M7" i="1"/>
  <c r="O6" i="1"/>
  <c r="O6" i="1" a="1"/>
  <c r="N6" i="1"/>
  <c r="M6" i="1"/>
  <c r="O5" i="1"/>
  <c r="O5" i="1" a="1"/>
  <c r="N5" i="1"/>
  <c r="M5" i="1"/>
  <c r="O4" i="1"/>
  <c r="O4" i="1" a="1"/>
  <c r="N4" i="1"/>
  <c r="M4" i="1"/>
  <c r="O3" i="1"/>
  <c r="O3" i="1" a="1"/>
  <c r="N3" i="1"/>
  <c r="M3" i="1"/>
  <c r="O2" i="1"/>
  <c r="O2" i="1" a="1"/>
  <c r="N2" i="1"/>
  <c r="M2" i="1"/>
  <c r="L9" i="8"/>
  <c r="K9" i="8"/>
  <c r="J9" i="8"/>
  <c r="I9" i="8"/>
  <c r="H9" i="8"/>
  <c r="L8" i="8"/>
  <c r="K8" i="8"/>
  <c r="J8" i="8"/>
  <c r="I8" i="8"/>
  <c r="H8" i="8"/>
  <c r="L7" i="8"/>
  <c r="K7" i="8"/>
  <c r="J7" i="8"/>
  <c r="I7" i="8"/>
  <c r="H7" i="8"/>
  <c r="L6" i="8"/>
  <c r="K6" i="8"/>
  <c r="J6" i="8"/>
  <c r="I6" i="8"/>
  <c r="H6" i="8"/>
  <c r="L5" i="8"/>
  <c r="K5" i="8"/>
  <c r="J5" i="8"/>
  <c r="I5" i="8"/>
  <c r="H5" i="8"/>
  <c r="L4" i="8"/>
  <c r="K4" i="8"/>
  <c r="J4" i="8"/>
  <c r="I4" i="8"/>
  <c r="K4" i="6"/>
  <c r="J4" i="6"/>
  <c r="I4" i="6"/>
  <c r="H4" i="6"/>
  <c r="G4"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<sst xmlns="http://schemas.openxmlformats.org/spreadsheetml/2006/main" count="14878" uniqueCount="2545">
  <si>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</si>
  <si>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</si>
  <si>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</si>
  <si>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</si>
  <si>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</si>
  <si>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</si>
  <si>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</si>
  <si>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</si>
  <si>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</si>
  <si>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</si>
  <si>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</si>
  <si>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</si>
  <si>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</si>
  <si>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</si>
  <si>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</si>
  <si>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</si>
  <si>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</si>
  <si>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</si>
  <si>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</si>
  <si>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</si>
  <si>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</si>
  <si>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</si>
  <si>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</si>
  <si>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</si>
  <si>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</si>
  <si>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</si>
  <si>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</si>
  <si>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</si>
  <si>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</si>
  <si>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</si>
  <si>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</si>
  <si>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</si>
  <si>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</si>
  <si>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</si>
  <si>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</si>
  <si>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</si>
  <si>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</si>
  <si>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</si>
  <si>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</si>
  <si>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</si>
  <si>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</si>
  <si>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</si>
  <si>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</si>
  <si>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</si>
  <si>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</si>
  <si>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</si>
  <si>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</si>
  <si>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</si>
  <si>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</si>
  <si>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</si>
  <si>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</si>
  <si>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</si>
  <si>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</si>
  <si>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</si>
  <si>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</si>
  <si>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</si>
  <si>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</si>
  <si>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</si>
  <si>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</si>
  <si>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</si>
  <si>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</si>
  <si>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</si>
  <si>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</si>
  <si>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</si>
  <si>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</si>
  <si>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</si>
  <si>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</si>
  <si>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</si>
  <si>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</si>
  <si>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</si>
  <si>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</si>
  <si>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</si>
  <si>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</si>
  <si>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</si>
  <si>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</si>
  <si>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</si>
  <si>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</si>
  <si>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</si>
  <si>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</si>
  <si>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</si>
  <si>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</si>
  <si>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</si>
  <si>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</si>
  <si>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</si>
  <si>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</si>
  <si>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</si>
  <si>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</si>
  <si>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</si>
  <si>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</si>
  <si>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</si>
  <si>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</si>
  <si>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</si>
  <si>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</si>
  <si>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</si>
  <si>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</si>
  <si>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</si>
  <si>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</si>
  <si>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</si>
  <si>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</si>
  <si>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</si>
  <si>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</si>
  <si>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</si>
  <si>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</si>
  <si>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</si>
  <si>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</si>
  <si>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</si>
  <si>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</si>
  <si>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</si>
  <si>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</si>
  <si>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</si>
  <si>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</si>
  <si>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</si>
  <si>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</si>
  <si>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</si>
  <si>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</si>
  <si>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</si>
  <si>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</si>
  <si>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</si>
  <si>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</si>
  <si>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</si>
  <si>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</si>
  <si>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</si>
  <si>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</si>
  <si>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</si>
  <si>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</si>
  <si>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</si>
  <si>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</si>
  <si>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</si>
  <si>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</si>
  <si>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</si>
  <si>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</si>
  <si>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</si>
  <si>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</si>
  <si>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</si>
  <si>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</si>
  <si>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</si>
  <si>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</si>
  <si>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</si>
  <si>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</si>
  <si>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</si>
  <si>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</si>
  <si>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</si>
  <si>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</si>
  <si>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</si>
  <si>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</si>
  <si>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</si>
  <si>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</si>
  <si>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</si>
  <si>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</si>
  <si>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</si>
  <si>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</si>
  <si>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</si>
  <si>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</si>
  <si>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</si>
  <si>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</si>
  <si>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</si>
  <si>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</si>
  <si>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</si>
  <si>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</si>
  <si>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</si>
  <si>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</si>
  <si>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</si>
  <si>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</si>
  <si>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</si>
  <si>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</si>
  <si>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</si>
  <si>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</si>
  <si>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</si>
  <si>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</si>
  <si>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</si>
  <si>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</si>
  <si>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</si>
  <si>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</si>
  <si>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</si>
  <si>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</si>
  <si>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</si>
  <si>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</si>
  <si>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</si>
  <si>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</si>
  <si>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</si>
  <si>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</si>
  <si>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</si>
  <si>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</si>
  <si>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</si>
  <si>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</si>
  <si>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</si>
  <si>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</si>
  <si>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</si>
  <si>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</si>
  <si>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</si>
  <si>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</si>
  <si>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</si>
  <si>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</si>
  <si>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</si>
  <si>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</si>
  <si>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</si>
  <si>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</si>
  <si>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</si>
  <si>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</si>
  <si>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</si>
  <si>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</si>
  <si>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</si>
  <si>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</si>
  <si>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</si>
  <si>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</si>
  <si>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</si>
  <si>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</si>
  <si>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</si>
  <si>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</si>
  <si>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</si>
  <si>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</si>
  <si>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</si>
  <si>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</si>
  <si>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</si>
  <si>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</si>
  <si>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</si>
  <si>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</si>
  <si>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</si>
  <si>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</si>
  <si>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</si>
  <si>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</si>
  <si>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</si>
  <si>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</si>
  <si>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</si>
  <si>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</si>
  <si>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</si>
  <si>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</si>
  <si>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</si>
  <si>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</si>
  <si>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</si>
  <si>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</si>
  <si>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</si>
  <si>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</si>
  <si>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</si>
  <si>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</si>
  <si>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</si>
  <si>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</si>
  <si>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</si>
  <si>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</si>
  <si>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</si>
  <si>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</si>
  <si>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</si>
  <si>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</si>
  <si>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</si>
  <si>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</si>
  <si>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</si>
  <si>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</si>
  <si>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</si>
  <si>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</si>
  <si>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</si>
  <si>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</si>
  <si>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</si>
  <si>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</si>
  <si>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</si>
  <si>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</si>
  <si>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</si>
  <si>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</si>
  <si>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</si>
  <si>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</si>
  <si>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</si>
  <si>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</si>
  <si>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</si>
  <si>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</si>
  <si>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</si>
  <si>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</si>
  <si>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</si>
  <si>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</si>
  <si>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</si>
  <si>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</si>
  <si>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</si>
  <si>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</si>
  <si>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</si>
  <si>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</si>
  <si>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</si>
  <si>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</si>
  <si>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</si>
  <si>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</si>
  <si>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</si>
  <si>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</si>
  <si>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</si>
  <si>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</si>
  <si>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</si>
  <si>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</si>
  <si>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</si>
  <si>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</si>
  <si>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</si>
  <si>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</si>
  <si>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</si>
  <si>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</si>
  <si>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</si>
  <si>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</si>
  <si>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</si>
  <si>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</si>
  <si>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</si>
  <si>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</si>
  <si>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</si>
  <si>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</si>
  <si>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</si>
  <si>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</si>
  <si>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</si>
  <si>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</si>
  <si>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</si>
  <si>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</si>
  <si>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</si>
  <si>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</si>
  <si>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</si>
  <si>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</si>
  <si>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</si>
  <si>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</si>
  <si>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</si>
  <si>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</si>
  <si>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</si>
  <si>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</si>
  <si>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</si>
  <si>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</si>
  <si>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</si>
  <si>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</si>
  <si>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</si>
  <si>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</si>
  <si>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</si>
  <si>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</si>
  <si>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</si>
  <si>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</si>
  <si>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</si>
  <si>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</si>
  <si>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</si>
  <si>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</si>
  <si>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</si>
  <si>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</si>
  <si>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</si>
  <si>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</si>
  <si>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</si>
  <si>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</si>
  <si>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</si>
  <si>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</si>
  <si>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</si>
  <si>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</si>
  <si>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</si>
  <si>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</si>
  <si>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</si>
  <si>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</si>
  <si>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</si>
  <si>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</si>
  <si>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</si>
  <si>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</si>
  <si>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</si>
  <si>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</si>
  <si>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</si>
  <si>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</si>
  <si>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</si>
  <si>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</si>
  <si>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</si>
  <si>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</si>
  <si>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</si>
  <si>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</si>
  <si>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</si>
  <si>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</si>
  <si>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</si>
  <si>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</si>
  <si>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</si>
  <si>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</si>
  <si>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</si>
  <si>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</si>
  <si>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</si>
  <si>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</si>
  <si>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</si>
  <si>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</si>
  <si>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</si>
  <si>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</si>
  <si>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</si>
  <si>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</si>
  <si>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</si>
  <si>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</si>
  <si>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</si>
  <si>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</si>
  <si>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</si>
  <si>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</si>
  <si>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</si>
  <si>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</si>
  <si>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</si>
  <si>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</si>
  <si>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</si>
  <si>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</si>
  <si>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</si>
  <si>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</si>
  <si>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</si>
  <si>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</si>
  <si>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</si>
  <si>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</si>
  <si>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</si>
  <si>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</si>
  <si>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</si>
  <si>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</si>
  <si>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</si>
  <si>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</si>
  <si>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</si>
  <si>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</si>
  <si>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</si>
  <si>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</si>
  <si>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</si>
  <si>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</si>
  <si>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</si>
  <si>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</si>
  <si>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</si>
  <si>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</si>
  <si>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</si>
  <si>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</si>
  <si>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</si>
  <si>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</si>
  <si>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</si>
  <si>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</si>
  <si>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</si>
  <si>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</si>
  <si>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</si>
  <si>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</si>
  <si>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</si>
  <si>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</si>
  <si>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</si>
  <si>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</si>
  <si>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</si>
  <si>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</si>
  <si>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</si>
  <si>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</si>
  <si>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</si>
  <si>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</si>
  <si>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</si>
  <si>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</si>
  <si>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</si>
  <si>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</si>
  <si>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</si>
  <si>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</si>
  <si>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</si>
  <si>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</si>
  <si>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</si>
  <si>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</si>
  <si>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</si>
  <si>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</si>
  <si>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</si>
  <si>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</si>
  <si>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</si>
  <si>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</si>
  <si>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</si>
  <si>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</si>
  <si>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</si>
  <si>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</si>
  <si>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</si>
  <si>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</si>
  <si>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</si>
  <si>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</si>
  <si>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</si>
  <si>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</si>
  <si>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</si>
  <si>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</si>
  <si>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</si>
  <si>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</si>
  <si>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</si>
  <si>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</si>
  <si>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</si>
  <si>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</si>
  <si>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</si>
  <si>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</si>
  <si>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</si>
  <si>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</si>
  <si>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</si>
  <si>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</si>
  <si>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</si>
  <si>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</si>
  <si>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</si>
  <si>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</si>
  <si>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</si>
  <si>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</si>
  <si>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</si>
  <si>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</si>
  <si>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</si>
  <si>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</si>
  <si>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</si>
  <si>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</si>
  <si>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</si>
  <si>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</si>
  <si>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</si>
  <si>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</si>
  <si>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</si>
  <si>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</si>
  <si>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</si>
  <si>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</si>
  <si>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</si>
  <si>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</si>
  <si>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</si>
  <si>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</si>
  <si>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</si>
  <si>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</si>
  <si>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</si>
  <si>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</si>
  <si>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</si>
  <si>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</si>
  <si>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</si>
  <si>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</si>
  <si>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</si>
  <si>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</si>
  <si>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</si>
  <si>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</si>
  <si>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</si>
  <si>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</si>
  <si>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</si>
  <si>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</si>
  <si>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</si>
  <si>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</si>
  <si>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</si>
  <si>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</si>
  <si>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</si>
  <si>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</si>
  <si>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</si>
  <si>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</si>
  <si>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</si>
  <si>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</si>
  <si>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</si>
  <si>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</si>
  <si>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</si>
  <si>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</si>
  <si>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</si>
  <si>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</si>
  <si>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</si>
  <si>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</si>
  <si>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</si>
  <si>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</si>
  <si>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</si>
  <si>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</si>
  <si>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</si>
  <si>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</si>
  <si>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</si>
  <si>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</si>
  <si>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</si>
  <si>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</si>
  <si>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</si>
  <si>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</si>
  <si>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</si>
  <si>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</si>
  <si>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</si>
  <si>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</si>
  <si>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</si>
  <si>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</si>
  <si>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</si>
  <si>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</si>
  <si>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</si>
  <si>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</si>
  <si>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</si>
  <si>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</si>
  <si>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</si>
  <si>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</si>
  <si>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</si>
  <si>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</si>
  <si>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</si>
  <si>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</si>
  <si>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</si>
  <si>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</si>
  <si>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</si>
  <si>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</si>
  <si>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</si>
  <si>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</si>
  <si>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</si>
  <si>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</si>
  <si>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</si>
  <si>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</si>
  <si>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</si>
  <si>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</si>
  <si>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</si>
  <si>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</si>
  <si>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</si>
  <si>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</si>
  <si>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</si>
  <si>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</si>
  <si>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</si>
  <si>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</si>
  <si>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</si>
  <si>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</si>
  <si>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</si>
  <si>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</si>
  <si>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</si>
  <si>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</si>
  <si>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</si>
  <si>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</si>
  <si>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</si>
  <si>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</si>
  <si>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</si>
  <si>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</si>
  <si>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</si>
  <si>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</si>
  <si>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</si>
  <si>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</si>
  <si>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</si>
  <si>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</si>
  <si>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</si>
  <si>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</si>
  <si>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</si>
  <si>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</si>
  <si>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</si>
  <si>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</si>
  <si>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</si>
  <si>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</si>
  <si>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</si>
  <si>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</si>
  <si>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</si>
  <si>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</si>
  <si>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</si>
  <si>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</si>
  <si>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</si>
  <si>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</si>
  <si>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</si>
  <si>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</si>
  <si>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</si>
  <si>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</si>
  <si>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</si>
  <si>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</si>
  <si>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</si>
  <si>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</si>
  <si>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</si>
  <si>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</si>
  <si>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</si>
  <si>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</si>
  <si>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</si>
  <si>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</si>
  <si>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</si>
  <si>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</si>
  <si>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</si>
  <si>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</si>
  <si>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</si>
  <si>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</si>
  <si>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</si>
  <si>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</si>
  <si>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</si>
  <si>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</si>
  <si>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</si>
  <si>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</si>
  <si>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</si>
  <si>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</si>
  <si>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</si>
  <si>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</si>
  <si>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</si>
  <si>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</si>
  <si>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</si>
  <si>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</si>
  <si>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</si>
  <si>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</si>
  <si>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</si>
  <si>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</si>
  <si>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</si>
  <si>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</si>
  <si>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</si>
  <si>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</si>
  <si>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</si>
  <si>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</si>
  <si>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</si>
  <si>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</si>
  <si>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</si>
  <si>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</si>
  <si>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</si>
  <si>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</si>
  <si>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</si>
  <si>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</si>
  <si>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</si>
  <si>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</si>
  <si>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</si>
  <si>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</si>
  <si>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</si>
  <si>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</si>
  <si>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</si>
  <si>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</si>
  <si>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</si>
  <si>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</si>
  <si>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</si>
  <si>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</si>
  <si>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</si>
  <si>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</si>
  <si>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</si>
  <si>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</si>
  <si>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</si>
  <si>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</si>
  <si>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</si>
  <si>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</si>
  <si>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</si>
  <si>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</si>
  <si>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</si>
  <si>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</si>
  <si>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</si>
  <si>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</si>
  <si>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</si>
  <si>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</si>
  <si>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</si>
  <si>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</si>
  <si>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</si>
  <si>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</si>
  <si>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</si>
  <si>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</si>
  <si>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</si>
  <si>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</si>
  <si>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</si>
  <si>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</si>
  <si>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</si>
  <si>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</si>
  <si>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</si>
  <si>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</si>
  <si>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</si>
  <si>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</si>
  <si>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</si>
  <si>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</si>
  <si>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</si>
  <si>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</si>
  <si>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</si>
  <si>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</si>
  <si>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</si>
  <si>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</si>
  <si>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</si>
  <si>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</si>
  <si>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</si>
  <si>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</si>
  <si>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</si>
  <si>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</si>
  <si>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</si>
  <si>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</si>
  <si>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</si>
  <si>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</si>
  <si>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</si>
  <si>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</si>
  <si>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</si>
  <si>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</si>
  <si>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</si>
  <si>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</si>
  <si>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</si>
  <si>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</si>
  <si>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</si>
  <si>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</si>
  <si>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</si>
  <si>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</si>
  <si>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</si>
  <si>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</si>
  <si>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</si>
  <si>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</si>
  <si>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</si>
  <si>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</si>
  <si>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</si>
  <si>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</si>
  <si>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</si>
  <si>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</si>
  <si>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</si>
  <si>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</si>
  <si>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</si>
  <si>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</si>
  <si>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</si>
  <si>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</si>
  <si>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</si>
  <si>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</si>
  <si>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</si>
  <si>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</si>
  <si>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</si>
  <si>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</si>
  <si>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</si>
  <si>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</si>
  <si>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</si>
  <si>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</si>
  <si>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</si>
  <si>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</si>
  <si>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</si>
  <si>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</si>
  <si>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</si>
  <si>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</si>
  <si>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</si>
  <si>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</si>
  <si>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</si>
  <si>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</si>
  <si>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</si>
  <si>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</si>
  <si>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</si>
  <si>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</si>
  <si>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</si>
  <si>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</si>
  <si>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</si>
  <si>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</si>
  <si>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</si>
  <si>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</si>
  <si>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</si>
  <si>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</si>
  <si>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</si>
  <si>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</si>
  <si>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</si>
  <si>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</si>
  <si>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</si>
  <si>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</si>
  <si>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</si>
  <si>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</si>
  <si>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</si>
  <si>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</si>
  <si>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</si>
  <si>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</si>
  <si>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</si>
  <si>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</si>
  <si>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</si>
  <si>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</si>
  <si>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</si>
  <si>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</si>
  <si>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</si>
  <si>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</si>
  <si>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</si>
  <si>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</si>
  <si>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</si>
  <si>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</si>
  <si>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</si>
  <si>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</si>
  <si>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</si>
  <si>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</si>
  <si>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</si>
  <si>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</si>
  <si>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</si>
  <si>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</si>
  <si>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</si>
  <si>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</si>
  <si>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</si>
  <si>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</si>
  <si>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</si>
  <si>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</si>
  <si>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</si>
  <si>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</si>
  <si>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</si>
  <si>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</si>
  <si>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</si>
  <si>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</si>
  <si>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</si>
  <si>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</si>
  <si>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</si>
  <si>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</si>
  <si>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</si>
  <si>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</si>
  <si>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</si>
  <si>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</si>
  <si>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</si>
  <si>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</si>
  <si>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</si>
  <si>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</si>
  <si>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</si>
  <si>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</si>
  <si>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</si>
  <si>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</si>
  <si>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</si>
  <si>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</si>
  <si>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</si>
  <si>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</si>
  <si>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</si>
  <si>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</si>
  <si>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</si>
  <si>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</si>
  <si>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</si>
  <si>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</si>
  <si>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</si>
  <si>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</si>
  <si>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</si>
  <si>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</si>
  <si>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</si>
  <si>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</si>
  <si>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</si>
  <si>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</si>
  <si>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</si>
  <si>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</si>
  <si>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</si>
  <si>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</si>
  <si>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</si>
  <si>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</si>
  <si>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</si>
  <si>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</si>
  <si>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</si>
  <si>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</si>
  <si>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</si>
  <si>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</si>
  <si>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</si>
  <si>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</si>
  <si>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</si>
  <si>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</si>
  <si>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</si>
  <si>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</si>
  <si>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</si>
  <si>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</si>
  <si>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</si>
  <si>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</si>
  <si>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</si>
  <si>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</si>
  <si>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</si>
  <si>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</si>
  <si>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</si>
  <si>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</si>
  <si>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</si>
  <si>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</si>
  <si>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</si>
  <si>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</si>
  <si>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</si>
  <si>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</si>
  <si>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</si>
  <si>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</si>
  <si>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</si>
  <si>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</si>
  <si>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</si>
  <si>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</si>
  <si>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</si>
  <si>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</si>
  <si>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</si>
  <si>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</si>
  <si>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</si>
  <si>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</si>
  <si>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</si>
  <si>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</si>
  <si>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</si>
  <si>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</si>
  <si>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</si>
  <si>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</si>
  <si>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</si>
  <si>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</si>
  <si>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</si>
  <si>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</si>
  <si>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</si>
  <si>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</si>
  <si>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</si>
  <si>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</si>
  <si>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</si>
  <si>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</si>
  <si>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</si>
  <si>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</si>
  <si>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</si>
  <si>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</si>
  <si>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</si>
  <si>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</si>
  <si>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</si>
  <si>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</si>
  <si>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</si>
  <si>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</si>
  <si>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</si>
  <si>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</si>
  <si>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</si>
  <si>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</si>
  <si>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</si>
  <si>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</si>
  <si>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</si>
  <si>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</si>
  <si>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</si>
  <si>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</si>
  <si>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</si>
  <si>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</si>
  <si>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</si>
  <si>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</si>
  <si>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</si>
  <si>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</si>
  <si>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</si>
  <si>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</si>
  <si>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</si>
  <si>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</si>
  <si>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</si>
  <si>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</si>
  <si>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</si>
  <si>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</si>
  <si>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</si>
  <si>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</si>
  <si>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</si>
  <si>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</si>
  <si>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</si>
  <si>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</si>
  <si>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</si>
  <si>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</si>
  <si>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</si>
  <si>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</si>
  <si>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</si>
  <si>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</si>
  <si>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</si>
  <si>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</si>
  <si>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</si>
  <si>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</si>
  <si>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</si>
  <si>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</si>
  <si>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</si>
  <si>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</si>
  <si>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</si>
  <si>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</si>
  <si>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</si>
  <si>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</si>
  <si>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</si>
  <si>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</si>
  <si>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</si>
  <si>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</si>
  <si>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</si>
  <si>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</si>
  <si>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</si>
  <si>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</si>
  <si>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</si>
  <si>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</si>
  <si>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</si>
  <si>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</si>
  <si>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</si>
  <si>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</si>
  <si>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</si>
  <si>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</si>
  <si>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</si>
  <si>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</si>
  <si>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</si>
  <si>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</si>
  <si>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</si>
  <si>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</si>
  <si>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</si>
  <si>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</si>
  <si>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</si>
  <si>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</si>
  <si>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</si>
  <si>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</si>
  <si>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</si>
  <si>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</si>
  <si>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</si>
  <si>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</si>
  <si>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</si>
  <si>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</si>
  <si>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</si>
  <si>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</si>
  <si>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</si>
  <si>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</si>
  <si>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</si>
  <si>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</si>
  <si>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</si>
  <si>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</si>
  <si>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</si>
  <si>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</si>
  <si>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</si>
  <si>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</si>
  <si>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</si>
  <si>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</si>
  <si>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</si>
  <si>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</si>
  <si>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</si>
  <si>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</si>
  <si>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</si>
  <si>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</si>
  <si>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</si>
  <si>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</si>
  <si>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</si>
  <si>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</si>
  <si>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</si>
  <si>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</si>
  <si>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</si>
  <si>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</si>
  <si>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</si>
  <si>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</si>
  <si>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</si>
  <si>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</si>
  <si>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</si>
  <si>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</si>
  <si>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</si>
  <si>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</si>
  <si>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</si>
  <si>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</si>
  <si>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</si>
  <si>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</si>
  <si>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</si>
  <si>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</si>
  <si>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</si>
  <si>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</si>
  <si>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</si>
  <si>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</si>
  <si>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</si>
  <si>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</si>
  <si>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</si>
  <si>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</si>
  <si>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</si>
  <si>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</si>
  <si>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</si>
  <si>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</si>
  <si>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</si>
  <si>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</si>
  <si>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</si>
  <si>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</si>
  <si>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</si>
  <si>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</si>
  <si>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</si>
  <si>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</si>
  <si>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</si>
  <si>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</si>
  <si>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</si>
  <si>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</si>
  <si>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</si>
  <si>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</si>
  <si>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</si>
  <si>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</si>
  <si>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</si>
  <si>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</si>
  <si>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</si>
  <si>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</si>
  <si>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</si>
  <si>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</si>
  <si>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</si>
  <si>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</si>
  <si>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</si>
  <si>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</si>
  <si>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</si>
  <si>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</si>
  <si>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</si>
  <si>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</si>
  <si>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</si>
  <si>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</si>
  <si>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</si>
  <si>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</si>
  <si>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</si>
  <si>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</si>
  <si>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</si>
  <si>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</si>
  <si>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</si>
  <si>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</si>
  <si>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</si>
  <si>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</si>
  <si>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</si>
  <si>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</si>
  <si>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</si>
  <si>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</si>
  <si>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</si>
  <si>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</si>
  <si>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</si>
  <si>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</si>
  <si>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</si>
  <si>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</si>
  <si>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</si>
  <si>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</si>
  <si>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</si>
  <si>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</si>
  <si>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</si>
  <si>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</si>
  <si>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</si>
  <si>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</si>
  <si>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</si>
  <si>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</si>
  <si>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</si>
  <si>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</si>
  <si>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</si>
  <si>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</si>
  <si>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</si>
  <si>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</si>
  <si>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</si>
  <si>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</si>
  <si>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</si>
  <si>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</si>
  <si>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</si>
  <si>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</si>
  <si>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</si>
  <si>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</si>
  <si>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</si>
  <si>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</si>
  <si>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</si>
  <si>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</si>
  <si>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</si>
  <si>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</si>
  <si>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</si>
  <si>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</si>
  <si>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</si>
  <si>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</si>
  <si>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</si>
  <si>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</si>
  <si>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</si>
  <si>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</si>
  <si>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</si>
  <si>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</si>
  <si>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</si>
  <si>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</si>
  <si>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</si>
  <si>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</si>
  <si>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</si>
  <si>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</si>
  <si>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</si>
  <si>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</si>
  <si>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</si>
  <si>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</si>
  <si>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</si>
  <si>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</si>
  <si>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</si>
  <si>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</si>
  <si>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</si>
  <si>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</si>
  <si>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</si>
  <si>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</si>
  <si>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</si>
  <si>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</si>
  <si>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</si>
  <si>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</si>
  <si>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</si>
  <si>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</si>
  <si>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</si>
  <si>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</si>
  <si>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</si>
  <si>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</si>
  <si>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</si>
  <si>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</si>
  <si>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</si>
  <si>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</si>
  <si>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</si>
  <si>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</si>
  <si>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</si>
  <si>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</si>
  <si>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</si>
  <si>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</si>
  <si>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</si>
  <si>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</si>
  <si>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</si>
  <si>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</si>
  <si>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</si>
  <si>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</si>
  <si>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</si>
  <si>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</si>
  <si>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</si>
  <si>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</si>
  <si>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</si>
  <si>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</si>
  <si>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</si>
  <si>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</si>
  <si>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</si>
  <si>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</si>
  <si>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</si>
  <si>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</si>
  <si>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</si>
  <si>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</si>
  <si>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</si>
  <si>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</si>
  <si>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</si>
  <si>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</si>
  <si>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</si>
  <si>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</si>
  <si>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</si>
  <si>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</si>
  <si>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</si>
  <si>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</si>
  <si>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</si>
  <si>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</si>
  <si>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</si>
  <si>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</si>
  <si>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</si>
  <si>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</si>
  <si>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</si>
  <si>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</si>
  <si>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</si>
  <si>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</si>
  <si>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</si>
  <si>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</si>
  <si>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</si>
  <si>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</si>
  <si>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</si>
  <si>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</si>
  <si>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</si>
  <si>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</si>
  <si>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</si>
  <si>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</si>
  <si>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</si>
  <si>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</si>
  <si>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</si>
  <si>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</si>
  <si>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</si>
  <si>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</si>
  <si>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</si>
  <si>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</si>
  <si>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</si>
  <si>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</si>
  <si>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</si>
  <si>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</si>
  <si>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</si>
  <si>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</si>
  <si>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</si>
  <si>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</si>
  <si>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</si>
  <si>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</si>
  <si>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</si>
  <si>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</si>
  <si>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</si>
  <si>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</si>
  <si>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</si>
  <si>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</si>
  <si>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</si>
  <si>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</si>
  <si>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</si>
  <si>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</si>
  <si>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</si>
  <si>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</si>
  <si>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</si>
  <si>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</si>
  <si>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</si>
  <si>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</si>
  <si>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</si>
  <si>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</si>
  <si>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</si>
  <si>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</si>
  <si>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</si>
  <si>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</si>
  <si>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</si>
  <si>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</si>
  <si>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</si>
  <si>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</si>
  <si>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</si>
  <si>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</si>
  <si>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</si>
  <si>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</si>
  <si>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</si>
  <si>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</si>
  <si>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</si>
  <si>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</si>
  <si>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</si>
  <si>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</si>
  <si>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</si>
  <si>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</si>
  <si>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</si>
  <si>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</si>
  <si>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</si>
  <si>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</si>
  <si>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</si>
  <si>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</si>
  <si>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</si>
  <si>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</si>
  <si>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</si>
  <si>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</si>
  <si>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</si>
  <si>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</si>
  <si>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</si>
  <si>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</si>
  <si>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</si>
  <si>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</si>
  <si>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</si>
  <si>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</si>
  <si>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</si>
  <si>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</si>
  <si>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</si>
  <si>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</si>
  <si>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</si>
  <si>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</si>
  <si>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</si>
  <si>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</si>
  <si>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</si>
  <si>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</si>
  <si>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</si>
  <si>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</si>
  <si>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</si>
  <si>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</si>
  <si>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</si>
  <si>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</si>
  <si>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</si>
  <si>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</si>
  <si>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</si>
  <si>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</si>
  <si>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</si>
  <si>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</si>
  <si>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</si>
  <si>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</si>
  <si>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</si>
  <si>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</si>
  <si>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</si>
  <si>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</si>
  <si>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</si>
  <si>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</si>
  <si>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</si>
  <si>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</si>
  <si>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</si>
  <si>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</si>
  <si>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</si>
  <si>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</si>
  <si>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</si>
  <si>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</si>
  <si>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</si>
  <si>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</si>
  <si>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</si>
  <si>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</si>
  <si>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</si>
  <si>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</si>
  <si>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</si>
  <si>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</si>
  <si>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</si>
  <si>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</si>
  <si>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</si>
  <si>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</si>
  <si>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</si>
  <si>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</si>
  <si>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</si>
  <si>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</si>
  <si>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</si>
  <si>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</si>
  <si>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</si>
  <si>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</si>
  <si>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</si>
  <si>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</si>
  <si>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</si>
  <si>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</si>
  <si>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</si>
  <si>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</si>
  <si>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</si>
  <si>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</si>
  <si>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</si>
  <si>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</si>
  <si>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</si>
  <si>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</si>
  <si>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</si>
  <si>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</si>
  <si>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</si>
  <si>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</si>
  <si>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</si>
  <si>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</si>
  <si>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</si>
  <si>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</si>
  <si>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</si>
  <si>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</si>
  <si>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</si>
  <si>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</si>
  <si>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</si>
  <si>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</si>
  <si>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</si>
  <si>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</si>
  <si>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</si>
  <si>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</si>
  <si>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</si>
  <si>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</si>
  <si>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</si>
  <si>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</si>
  <si>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</si>
  <si>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</si>
  <si>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</si>
  <si>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</si>
  <si>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</si>
  <si>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</si>
  <si>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</si>
  <si>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</si>
  <si>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</si>
  <si>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</si>
  <si>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</si>
  <si>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</si>
  <si>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</si>
  <si>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</si>
  <si>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</si>
  <si>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</si>
  <si>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</si>
  <si>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</si>
  <si>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</si>
  <si>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</si>
  <si>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</si>
  <si>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</si>
  <si>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</si>
  <si>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</si>
  <si>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</si>
  <si>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</si>
  <si>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</si>
  <si>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</si>
  <si>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</si>
  <si>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</si>
  <si>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</si>
  <si>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</si>
  <si>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</si>
  <si>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</si>
  <si>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</si>
  <si>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</si>
  <si>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</si>
  <si>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</si>
  <si>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</si>
  <si>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</si>
  <si>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</si>
  <si>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</si>
  <si>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</si>
  <si>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</si>
  <si>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</si>
  <si>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</si>
  <si>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</si>
  <si>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</si>
  <si>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</si>
  <si>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</si>
  <si>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</si>
  <si>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</si>
  <si>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</si>
  <si>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</si>
  <si>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</si>
  <si>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</si>
  <si>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</si>
  <si>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</si>
  <si>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</si>
  <si>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</si>
  <si>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</si>
  <si>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</si>
  <si>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</si>
  <si>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</si>
  <si>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</si>
  <si>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</si>
  <si>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</si>
  <si>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</si>
  <si>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</si>
  <si>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</si>
  <si>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</si>
  <si>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</si>
  <si>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</si>
  <si>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</si>
  <si>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</si>
  <si>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</si>
  <si>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</si>
  <si>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</si>
  <si>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</si>
  <si>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</si>
  <si>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</si>
  <si>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</si>
  <si>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</si>
  <si>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</si>
  <si>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</si>
  <si>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</si>
  <si>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</si>
  <si>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</si>
  <si>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</si>
  <si>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</si>
  <si>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</si>
  <si>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</si>
  <si>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</si>
  <si>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</si>
  <si>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</si>
  <si>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</si>
  <si>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</si>
  <si>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</si>
  <si>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</si>
  <si>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</si>
  <si>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</si>
  <si>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</si>
  <si>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</si>
  <si>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</si>
  <si>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</si>
  <si>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</si>
  <si>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</si>
  <si>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</si>
  <si>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</si>
  <si>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</si>
  <si>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</si>
  <si>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</si>
  <si>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</si>
  <si>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</si>
  <si>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</si>
  <si>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</si>
  <si>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</si>
  <si>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</si>
  <si>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</si>
  <si>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</si>
  <si>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</si>
  <si>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</si>
  <si>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</si>
  <si>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</si>
  <si>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</si>
  <si>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</si>
  <si>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</si>
  <si>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</si>
  <si>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</si>
  <si>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</si>
  <si>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</si>
  <si>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</si>
  <si>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</si>
  <si>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</si>
  <si>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</si>
  <si>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</si>
  <si>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</si>
  <si>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</si>
  <si>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</si>
  <si>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</si>
  <si>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</si>
  <si>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</si>
  <si>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</si>
  <si>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</si>
  <si>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</si>
  <si>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</si>
  <si>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</si>
  <si>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</si>
  <si>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</si>
  <si>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</si>
  <si>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</si>
  <si>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</si>
  <si>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</si>
  <si>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</si>
  <si>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</si>
  <si>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</si>
  <si>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</si>
  <si>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</si>
  <si>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</si>
  <si>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</si>
  <si>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</si>
  <si>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</si>
  <si>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</si>
  <si>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</si>
  <si>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</si>
  <si>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</si>
  <si>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</si>
  <si>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</si>
  <si>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</si>
  <si>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</si>
  <si>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</si>
  <si>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</si>
  <si>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</si>
  <si>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</si>
  <si>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</si>
  <si>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</si>
  <si>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</si>
  <si>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</si>
  <si>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</si>
  <si>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</si>
  <si>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</si>
  <si>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</si>
  <si>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</si>
  <si>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</si>
  <si>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</si>
  <si>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</si>
  <si>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</si>
  <si>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</si>
  <si>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</si>
  <si>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</si>
  <si>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</si>
  <si>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</si>
  <si>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</si>
  <si>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</si>
  <si>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</si>
  <si>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</si>
  <si>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</si>
  <si>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</si>
  <si>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</si>
  <si>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</si>
  <si>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</si>
  <si>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</si>
  <si>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</si>
  <si>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</si>
  <si>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</si>
  <si>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</si>
  <si>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</si>
  <si>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</si>
  <si>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</si>
  <si>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</si>
  <si>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</si>
  <si>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</si>
  <si>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</si>
  <si>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</si>
  <si>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</si>
  <si>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</si>
  <si>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</si>
  <si>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</si>
  <si>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</si>
  <si>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</si>
  <si>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</si>
  <si>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</si>
  <si>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</si>
  <si>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</si>
  <si>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</si>
  <si>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</si>
  <si>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</si>
  <si>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</si>
  <si>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</si>
  <si>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</si>
  <si>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</si>
  <si>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</si>
  <si>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</si>
  <si>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</si>
  <si>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</si>
  <si>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</si>
  <si>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</si>
  <si>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</si>
  <si>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</si>
  <si>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</si>
  <si>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</si>
  <si>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</si>
  <si>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</si>
  <si>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</si>
  <si>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</si>
  <si>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</si>
  <si>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</si>
  <si>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</si>
  <si>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</si>
  <si>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</si>
  <si>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</si>
  <si>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</si>
  <si>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</si>
  <si>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</si>
  <si>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</si>
  <si>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</si>
  <si>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</si>
  <si>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</si>
  <si>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</si>
  <si>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</si>
  <si>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</si>
  <si>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</si>
  <si>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</si>
  <si>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</si>
  <si>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</si>
  <si>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</si>
  <si>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</si>
  <si>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</si>
  <si>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</si>
  <si>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</si>
  <si>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</si>
  <si>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</si>
  <si>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</si>
  <si>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</si>
  <si>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</si>
  <si>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</si>
  <si>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</si>
  <si>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</si>
  <si>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</si>
  <si>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</si>
  <si>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</si>
  <si>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</si>
  <si>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</si>
  <si>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</si>
  <si>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</si>
  <si>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</si>
  <si>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</si>
  <si>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</si>
  <si>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</si>
  <si>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</si>
  <si>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</si>
  <si>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</si>
  <si>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</si>
  <si>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</si>
  <si>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</si>
  <si>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</si>
  <si>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</si>
  <si>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</si>
  <si>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</si>
  <si>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</si>
  <si>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</si>
  <si>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</si>
  <si>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</si>
  <si>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</si>
  <si>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</si>
  <si>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</si>
  <si>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</si>
  <si>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</si>
  <si>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</si>
  <si>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</si>
  <si>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</si>
  <si>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</si>
  <si>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</si>
  <si>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</si>
  <si>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</si>
  <si>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</si>
  <si>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</si>
  <si>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</si>
  <si>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</si>
  <si>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</si>
  <si>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</si>
  <si>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</si>
  <si>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</si>
  <si>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</si>
  <si>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</si>
  <si>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</si>
  <si>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</si>
  <si>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</si>
  <si>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</si>
  <si>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</si>
  <si>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</si>
  <si>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</si>
  <si>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</si>
  <si>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</si>
  <si>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</si>
  <si>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</si>
  <si>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</si>
  <si>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</si>
  <si>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</si>
  <si>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</si>
  <si>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</si>
  <si>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</si>
  <si>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</si>
  <si>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</si>
  <si>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</si>
  <si>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</si>
  <si>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</si>
  <si>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</si>
  <si>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</si>
  <si>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</si>
  <si>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</si>
  <si>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</si>
  <si>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</si>
  <si>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</si>
  <si>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</si>
  <si>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</si>
  <si>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</si>
  <si>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</si>
  <si>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</si>
  <si>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</si>
  <si>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</si>
  <si>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</si>
  <si>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</si>
  <si>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</si>
  <si>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</si>
  <si>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</si>
  <si>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</si>
  <si>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</si>
  <si>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</si>
  <si>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</si>
  <si>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</si>
  <si>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</si>
  <si>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</si>
  <si>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</si>
  <si>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</si>
  <si>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</si>
  <si>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</si>
  <si>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</si>
  <si>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</si>
  <si>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</si>
  <si>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</si>
  <si>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</si>
  <si>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</si>
  <si>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</si>
  <si>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</si>
  <si>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</si>
  <si>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</si>
  <si>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</si>
  <si>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</si>
  <si>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</si>
  <si>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</si>
  <si>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</si>
  <si>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</si>
  <si>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</si>
  <si>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</si>
  <si>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</si>
  <si>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</si>
  <si>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</si>
  <si>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</si>
  <si>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</si>
  <si>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</si>
  <si>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</si>
  <si>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</si>
  <si>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</si>
  <si>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</si>
  <si>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</si>
  <si>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</si>
  <si>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</si>
  <si>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</si>
  <si>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</si>
  <si>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</si>
  <si>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</si>
  <si>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</si>
  <si>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</si>
  <si>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</si>
  <si>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</si>
  <si>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</si>
  <si>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</si>
  <si>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</si>
  <si>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</si>
  <si>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</si>
  <si>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</si>
  <si>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</si>
  <si>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</si>
  <si>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</si>
  <si>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</si>
  <si>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</si>
  <si>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</si>
  <si>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</si>
  <si>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</si>
  <si>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</si>
  <si>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</si>
  <si>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</si>
  <si>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</si>
  <si>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</si>
  <si>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</si>
  <si>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</si>
  <si>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</si>
  <si>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</si>
  <si>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</si>
  <si>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</si>
  <si>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</si>
  <si>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</si>
  <si>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</si>
  <si>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</si>
  <si>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</si>
  <si>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</si>
  <si>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</si>
  <si>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</si>
  <si>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</si>
  <si>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</si>
  <si>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</si>
  <si>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</si>
  <si>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</si>
  <si>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</si>
  <si>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</si>
  <si>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</si>
  <si>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</si>
  <si>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</si>
  <si>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</si>
  <si>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</si>
  <si>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</si>
  <si>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</si>
  <si>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</si>
  <si>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</si>
  <si>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</si>
  <si>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</si>
  <si>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</si>
  <si>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</si>
  <si>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</si>
  <si>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</si>
  <si>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</si>
  <si>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</si>
  <si>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</si>
  <si>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</si>
  <si>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</si>
  <si>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</si>
  <si>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</si>
  <si>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</si>
  <si>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</si>
  <si>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</si>
  <si>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</si>
  <si>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</si>
  <si>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</si>
  <si>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</si>
  <si>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</si>
  <si>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</si>
  <si>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</si>
  <si>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</si>
  <si>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</si>
  <si>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</si>
  <si>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</si>
  <si>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</si>
  <si>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</si>
  <si>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</si>
  <si>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</si>
  <si>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</si>
  <si>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</si>
  <si>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</si>
  <si>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</si>
  <si>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</si>
  <si>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</si>
  <si>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</si>
  <si>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</si>
  <si>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</si>
  <si>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</si>
  <si>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</si>
  <si>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</si>
  <si>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</si>
  <si>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</si>
  <si>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</si>
  <si>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</si>
  <si>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</si>
  <si>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</si>
  <si>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</si>
  <si>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</si>
  <si>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</si>
  <si>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</si>
  <si>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</si>
  <si>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</si>
  <si>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</si>
  <si>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</si>
  <si>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</si>
  <si>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</si>
  <si>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</si>
  <si>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</si>
  <si>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</si>
  <si>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</si>
  <si>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</si>
  <si>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</si>
  <si>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</si>
  <si>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</si>
  <si>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</si>
  <si>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</si>
  <si>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</si>
  <si>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</si>
  <si>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</si>
  <si>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</si>
  <si>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</si>
  <si>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</si>
  <si>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</si>
  <si>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</si>
  <si>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</si>
  <si>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</si>
  <si>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</si>
  <si>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</si>
  <si>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</si>
  <si>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</si>
  <si>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</si>
  <si>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</si>
  <si>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</si>
  <si>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</si>
  <si>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</si>
  <si>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</si>
  <si>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</si>
  <si>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</si>
  <si>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</si>
  <si>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</si>
  <si>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</si>
  <si>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</si>
  <si>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</si>
  <si>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</si>
  <si>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</si>
  <si>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</si>
  <si>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</si>
  <si>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</si>
  <si>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</si>
  <si>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</si>
  <si>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</si>
  <si>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</si>
  <si>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</si>
  <si>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</si>
  <si>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</si>
  <si>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</si>
  <si>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</si>
  <si>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</si>
  <si>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</si>
  <si>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</si>
  <si>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</si>
  <si>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</si>
  <si>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</si>
  <si>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</si>
  <si>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</si>
  <si>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</si>
  <si>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</si>
  <si>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</si>
  <si>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</si>
  <si>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</si>
  <si>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</si>
  <si>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</si>
  <si>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</si>
  <si>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</si>
  <si>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</si>
  <si>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</si>
  <si>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</si>
  <si>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</si>
  <si>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</si>
  <si>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</si>
  <si>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</si>
  <si>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</si>
  <si>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</si>
  <si>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</si>
  <si>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</si>
  <si>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</si>
  <si>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</si>
  <si>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</si>
  <si>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</si>
  <si>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</si>
  <si>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</si>
  <si>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</si>
  <si>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</si>
  <si>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</si>
  <si>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</si>
  <si>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</si>
  <si>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</si>
  <si>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</si>
  <si>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</si>
  <si>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</si>
  <si>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</si>
  <si>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</si>
  <si>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</si>
  <si>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</si>
  <si>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</si>
  <si>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</si>
  <si>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</si>
  <si>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</si>
  <si>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</si>
  <si>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</si>
  <si>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</si>
  <si>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</si>
  <si>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</si>
  <si>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</si>
  <si>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</si>
  <si>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</si>
  <si>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</si>
  <si>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</si>
  <si>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</si>
  <si>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</si>
  <si>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</si>
  <si>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</si>
  <si>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</si>
  <si>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</si>
  <si>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</si>
  <si>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</si>
  <si>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</si>
  <si>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</si>
  <si>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</si>
  <si>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</si>
  <si>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</si>
  <si>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</si>
  <si>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</si>
  <si>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</si>
  <si>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</si>
  <si>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</si>
  <si>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</si>
  <si>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</si>
  <si>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</si>
  <si>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</si>
  <si>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</si>
  <si>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</si>
  <si>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</si>
  <si>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</si>
  <si>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</si>
  <si>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</si>
  <si>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</si>
  <si>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</si>
  <si>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</si>
  <si>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</si>
  <si>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</si>
  <si>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</si>
  <si>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</si>
  <si>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</si>
  <si>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</si>
  <si>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</si>
  <si>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</si>
  <si>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</si>
  <si>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</si>
  <si>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</si>
  <si>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</si>
  <si>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</si>
  <si>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</si>
  <si>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</si>
  <si>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</si>
  <si>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</si>
  <si>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</si>
  <si>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</si>
  <si>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</si>
  <si>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</si>
  <si>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</si>
  <si>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</si>
  <si>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</si>
  <si>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</si>
  <si>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</si>
  <si>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</si>
  <si>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</si>
  <si>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</si>
  <si>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</si>
  <si>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</si>
  <si>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</si>
  <si>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</si>
  <si>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</si>
  <si>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</si>
  <si>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</si>
  <si>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</si>
  <si>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</si>
  <si>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</si>
  <si>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</si>
  <si>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</si>
  <si>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</si>
  <si>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</si>
  <si>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</si>
  <si>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</si>
  <si>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</si>
  <si>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</si>
  <si>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</si>
  <si>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</si>
  <si>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</si>
  <si>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</si>
  <si>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</si>
  <si>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</si>
  <si>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</si>
  <si>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</si>
  <si>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</si>
  <si>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</si>
  <si>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</si>
  <si>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</si>
  <si>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</si>
  <si>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</si>
  <si>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</si>
  <si>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</si>
  <si>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</si>
  <si>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</si>
  <si>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</si>
  <si>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</si>
  <si>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</si>
  <si>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</si>
  <si>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</si>
  <si>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</si>
  <si>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</si>
  <si>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</si>
  <si>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</si>
  <si>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</si>
  <si>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</si>
  <si>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</si>
  <si>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</si>
  <si>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</si>
  <si>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</si>
  <si>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</si>
  <si>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</si>
  <si>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</si>
  <si>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</si>
  <si>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</si>
  <si>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</si>
  <si>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</si>
  <si>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</si>
  <si>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</si>
  <si>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</si>
  <si>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</si>
  <si>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</si>
  <si>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</si>
  <si>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</si>
  <si>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</si>
  <si>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</si>
  <si>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</si>
  <si>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</si>
  <si>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</si>
  <si>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</si>
  <si>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</si>
  <si>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</si>
  <si>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</si>
  <si>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</si>
  <si>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</si>
  <si>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</si>
  <si>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</si>
  <si>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</si>
  <si>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</si>
  <si>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</si>
  <si>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</si>
  <si>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</si>
  <si>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</si>
  <si>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</si>
  <si>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</si>
  <si>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</si>
  <si>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</si>
  <si>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</si>
  <si>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</si>
  <si>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</si>
  <si>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</si>
  <si>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</si>
  <si>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</si>
  <si>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</si>
  <si>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</si>
  <si>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</si>
  <si>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</si>
  <si>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</si>
  <si>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</si>
  <si>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</si>
  <si>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</si>
  <si>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</si>
  <si>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</si>
  <si>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</si>
  <si>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</si>
  <si>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</si>
  <si>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</si>
  <si>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</si>
  <si>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</si>
  <si>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</si>
  <si>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</si>
  <si>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</si>
  <si>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</si>
  <si>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</si>
  <si>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</si>
  <si>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</si>
  <si>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</si>
  <si>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</si>
  <si>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</si>
  <si>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</si>
  <si>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</si>
  <si>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</si>
  <si>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</si>
  <si>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</si>
  <si>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</si>
  <si>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</si>
  <si>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</si>
  <si>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</si>
  <si>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</si>
  <si>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</si>
  <si>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</si>
  <si>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</si>
  <si>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</si>
  <si>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</si>
  <si>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</si>
  <si>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</si>
  <si>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</si>
  <si>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</si>
  <si>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</si>
  <si>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</si>
  <si>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</si>
  <si>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</si>
  <si>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</si>
  <si>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</si>
  <si>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</si>
  <si>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</si>
  <si>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</si>
  <si>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</si>
  <si>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</si>
  <si>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</si>
  <si>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</si>
  <si>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</si>
  <si>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</si>
  <si>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</si>
  <si>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</si>
  <si>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</si>
  <si>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</si>
  <si>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</si>
  <si>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</si>
  <si>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</si>
  <si>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</si>
  <si>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</si>
  <si>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</si>
  <si>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</si>
  <si>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</si>
  <si>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</si>
  <si>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</si>
  <si>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</si>
  <si>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</si>
  <si>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</si>
  <si>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</si>
  <si>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</si>
  <si>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</si>
  <si>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</si>
  <si>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</si>
  <si>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</si>
  <si>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</si>
  <si>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</si>
  <si>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</si>
  <si>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</si>
  <si>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</si>
  <si>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</si>
  <si>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</si>
  <si>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</si>
  <si>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</si>
  <si>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</si>
  <si>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</si>
  <si>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</si>
  <si>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</si>
  <si>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</si>
  <si>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</si>
  <si>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</si>
  <si>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</si>
  <si>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</si>
  <si>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</si>
  <si>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</si>
  <si>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</si>
  <si>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</si>
  <si>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</si>
  <si>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</si>
  <si>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</si>
  <si>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</si>
  <si>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</si>
  <si>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</si>
  <si>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</si>
  <si>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</si>
  <si>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</si>
  <si>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</si>
  <si>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</si>
  <si>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</si>
  <si>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</si>
  <si>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</si>
  <si>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</si>
  <si>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</si>
  <si>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</si>
  <si>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</si>
  <si>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</si>
  <si>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</si>
  <si>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</si>
  <si>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</si>
  <si>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</si>
  <si>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</si>
  <si>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</si>
  <si>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</si>
  <si>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</si>
  <si>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</si>
  <si>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</si>
  <si>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</si>
  <si>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</si>
  <si>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</si>
  <si>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</si>
  <si>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</si>
  <si>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</si>
  <si>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</si>
  <si>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</si>
  <si>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</si>
  <si>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</si>
  <si>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</si>
  <si>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</si>
  <si>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</si>
  <si>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</si>
  <si>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</si>
  <si>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</si>
  <si>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</si>
  <si>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</si>
  <si>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</si>
  <si>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</si>
  <si>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</si>
  <si>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</si>
  <si>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</si>
  <si>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</si>
  <si>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</si>
  <si>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</si>
  <si>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</si>
  <si>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</si>
  <si>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</si>
  <si>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</si>
  <si>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</si>
  <si>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</si>
  <si>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</si>
  <si>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</si>
  <si>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</si>
  <si>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</si>
  <si>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</si>
  <si>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</si>
  <si>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</si>
  <si>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</si>
  <si>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</si>
  <si>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</si>
  <si>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</si>
  <si>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</si>
  <si>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</si>
  <si>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</si>
  <si>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</si>
  <si>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</si>
  <si>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</si>
  <si>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</si>
  <si>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</si>
  <si>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</si>
  <si>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</si>
  <si>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</si>
  <si>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</si>
  <si>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</si>
  <si>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</si>
  <si>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</si>
  <si>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</si>
  <si>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</si>
  <si>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</si>
  <si>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</si>
  <si>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</si>
  <si>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</si>
  <si>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</si>
  <si>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</si>
  <si>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</si>
  <si>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</si>
  <si>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</si>
  <si>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</si>
  <si>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</si>
  <si>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</si>
  <si>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</si>
  <si>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</si>
  <si>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</si>
  <si>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</si>
  <si>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</si>
  <si>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</si>
  <si>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</si>
  <si>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</si>
  <si>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</si>
  <si>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</si>
  <si>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</si>
  <si>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</si>
  <si>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</si>
  <si>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</si>
  <si>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</si>
  <si>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</si>
  <si>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</si>
  <si>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</si>
  <si>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</si>
  <si>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</si>
  <si>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</si>
  <si>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</si>
  <si>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</si>
  <si>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</si>
  <si>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</si>
  <si>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</si>
  <si>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</si>
  <si>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</si>
  <si>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</si>
  <si>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</si>
  <si>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</si>
  <si>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</si>
  <si>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</si>
  <si>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</si>
  <si>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</si>
  <si>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</si>
  <si>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</si>
  <si>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</si>
  <si>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</si>
  <si>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</si>
  <si>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</si>
  <si>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</si>
  <si>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</si>
  <si>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</si>
  <si>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</si>
  <si>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</si>
  <si>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</si>
  <si>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</si>
  <si>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</si>
  <si>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</si>
  <si>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</si>
  <si>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</si>
  <si>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</si>
  <si>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</si>
  <si>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</si>
  <si>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</si>
  <si>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</si>
  <si>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</si>
  <si>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</si>
  <si>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</si>
  <si>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</si>
  <si>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</si>
  <si>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</si>
  <si>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</si>
  <si>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</si>
  <si>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</si>
  <si>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</si>
  <si>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</si>
  <si>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</si>
  <si>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</si>
  <si>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</si>
  <si>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</si>
  <si>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</si>
  <si>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</si>
  <si>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</si>
  <si>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</si>
  <si>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</si>
  <si>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</si>
  <si>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</si>
  <si>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</si>
  <si>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</si>
  <si>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</si>
  <si>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</si>
  <si>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</si>
  <si>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</si>
  <si>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</si>
  <si>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</si>
  <si>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</si>
  <si>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</si>
  <si>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</si>
  <si>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</si>
  <si>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</si>
  <si>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</si>
  <si>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</si>
  <si>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</si>
  <si>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</si>
  <si>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</si>
  <si>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</si>
  <si>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</si>
  <si>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</si>
  <si>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</si>
  <si>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</si>
  <si>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</si>
  <si>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</si>
  <si>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</si>
  <si>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</si>
  <si>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</si>
  <si>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</si>
  <si>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</si>
  <si>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</si>
  <si>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</si>
  <si>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</si>
  <si>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</si>
  <si>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</si>
  <si>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</si>
  <si>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orders</t>
  </si>
  <si>
    <t>Qty</t>
  </si>
  <si>
    <t>Rating Avg.</t>
  </si>
  <si>
    <t>Days</t>
  </si>
  <si>
    <t>Row Labels</t>
  </si>
  <si>
    <t>Grand Total</t>
  </si>
  <si>
    <t>Female</t>
  </si>
  <si>
    <t>Male</t>
  </si>
  <si>
    <t>Other</t>
  </si>
  <si>
    <t>Unknown</t>
  </si>
  <si>
    <t>Column Labels</t>
  </si>
  <si>
    <t>for matrix</t>
  </si>
  <si>
    <t>6 to 10</t>
  </si>
  <si>
    <t>more than 10</t>
  </si>
  <si>
    <t>graphical analysis</t>
  </si>
  <si>
    <t>Jan</t>
  </si>
  <si>
    <t>Feb</t>
  </si>
  <si>
    <t>Mar</t>
  </si>
  <si>
    <t>Sum of Days to Deliver</t>
  </si>
  <si>
    <t>for trends</t>
  </si>
  <si>
    <t>qty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</si>
</sst>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theme="4" tint="0.79998168889431442"/>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theme="4" tint="0.39997558519241921"/>
      </bottom>
      <diagonal/>
    </border>
  </borders>
  <cellStyleXfs count="1">
    <xf numFmtId="0" fontId="0" fillId="0" borderId="0"/>
  </cellStyleXfs>
  <cellXfs count="1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1" fillId="0" borderId="0" xfId="0" applyFont="1"/>
    <xf numFmtId="10" fontId="0" fillId="0" borderId="0" xfId="0" applyNumberFormat="1"/>
    <xf numFmtId="0" fontId="0" fillId="3" borderId="1" xfId="0" applyFill="1" applyBorder="1"/>
    <xf numFmtId="0" fontId="0" fillId="3" borderId="1" xfId="0" applyFill="1" applyBorder="1" applyAlignment="1">
      <alignment horizontal="center"/>
    </xf>
    <xf numFmtId="0" fontId="0" fillId="3" borderId="2" xfId="0" applyFill="1" applyBorder="1"/>
    <xf numFmtId="0" fontId="0" fillId="3" borderId="3" xfId="0" applyFill="1" applyBorder="1"/>
    <xf numFmtId="0" fontId="0" fillId="4" borderId="0" xfId="0" applyFill="1"/>
    <xf numFmtId="164" fontId="0" fillId="4" borderId="0" xfId="0" applyNumberFormat="1" applyFill="1"/>
    <xf numFmtId="0" fontId="1" fillId="5" borderId="4" xfId="0" applyFont="1" applyFill="1" applyBorder="1"/>
    <xf numFmtId="0" fontId="1" fillId="0" borderId="4" xfId="0" applyFont="1" applyBorder="1"/>
  </cellXfs>
  <cellStyles count="1">
    <cellStyle name="Normal" xfId="0" builtinId="0"/>
  </cellStyles>
  <dxfs count="5">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colors>
    <mruColors>
      <color rgb="FFC529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[ecommerce.xlsx]pivot!pvtqty</c:name>
    <c:fmtId val="14"/>
  </c:pivotSource>
  <c:chart>
    <c:autoTitleDeleted val="1"/>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tx2"/>
            </a:solidFill>
            <a:ln>
              <a:noFill/>
            </a:ln>
            <a:effectLst/>
          </c:spPr>
          <c:invertIfNegative val="0"/>
          <c:cat>
            <c:strRef>
              <c:f>pivot!$A$10:$A$17</c:f>
              <c:strCache>
                <c:ptCount val="7"/>
                <c:pt idx="0">
                  <c:v>1</c:v>
                </c:pt>
                <c:pt idx="1">
                  <c:v>2</c:v>
                </c:pt>
                <c:pt idx="2">
                  <c:v>3</c:v>
                </c:pt>
                <c:pt idx="3">
                  <c:v>4</c:v>
                </c:pt>
                <c:pt idx="4">
                  <c:v>5</c:v>
                </c:pt>
                <c:pt idx="5">
                  <c:v>6 to 10</c:v>
                </c:pt>
                <c:pt idx="6">
                  <c:v>more than 10</c:v>
                </c:pt>
              </c:strCache>
            </c:strRef>
          </c:cat>
          <c:val>
            <c:numRef>
              <c:f>pivot!$B$10:$B$17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67A4-4570-9114-5E04250C30E8}"/>
            </c:ext>
          </c:extLst>
        </c:ser>
        <c:dLbls>
          <c:showLegendKey val="0"/>
          <c:showVal val="0"/>
          <c:showCatName val="0"/>
          <c:showSerName val="0"/>
          <c:showPercent val="0"/>
          <c:showBubbleSize val="0"/>
        </c:dLbls>
        <c:gapWidth val="80"/>
        <c:overlap val="25"/>
        <c:axId val="11975968"/>
        <c:axId val="11984608"/>
      </c:barChart>
      <c:catAx>
        <c:axId val="11975968"/>
        <c:scaling>
          <c:orientation val="minMax"/>
        </c:scaling>
        <c:delete val="0"/>
        <c:axPos val="b"/>
        <c:numFmt formatCode="General" sourceLinked="1"/>
        <c:majorTickMark val="none"/>
        <c:minorTickMark val="none"/>
        <c:tickLblPos val="nextTo"/>
        <c:spPr>
          <a:solidFill>
            <a:schemeClr val="bg1"/>
          </a:solid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cap="none" spc="20" normalizeH="0" baseline="0">
                <a:solidFill>
                  <a:schemeClr val="tx1"/>
                </a:solidFill>
                <a:latin typeface="+mn-lt"/>
                <a:ea typeface="+mn-ea"/>
                <a:cs typeface="+mn-cs"/>
              </a:defRPr>
            </a:pPr>
            <a:endParaRPr lang="en-US"/>
          </a:p>
        </c:txPr>
        <c:crossAx val="11984608"/>
        <c:crosses val="autoZero"/>
        <c:auto val="1"/>
        <c:lblAlgn val="ctr"/>
        <c:lblOffset val="100"/>
        <c:noMultiLvlLbl val="0"/>
      </c:catAx>
      <c:valAx>
        <c:axId val="1198460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tx1"/>
                </a:solidFill>
                <a:latin typeface="+mn-lt"/>
                <a:ea typeface="+mn-ea"/>
                <a:cs typeface="+mn-cs"/>
              </a:defRPr>
            </a:pPr>
            <a:endParaRPr lang="en-US"/>
          </a:p>
        </c:txPr>
        <c:crossAx val="1197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[ecommerce.xlsx]pivot!pvtqty</c:name>
    <c:fmtId val="26"/>
  </c:pivotSource>
  <c:chart>
    <c:autoTitleDeleted val="1"/>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tx2"/>
            </a:solidFill>
            <a:ln>
              <a:noFill/>
            </a:ln>
            <a:effectLst/>
          </c:spPr>
          <c:invertIfNegative val="0"/>
          <c:cat>
            <c:strRef>
              <c:f>pivot!$A$10:$A$17</c:f>
              <c:strCache>
                <c:ptCount val="7"/>
                <c:pt idx="0">
                  <c:v>1</c:v>
                </c:pt>
                <c:pt idx="1">
                  <c:v>2</c:v>
                </c:pt>
                <c:pt idx="2">
                  <c:v>3</c:v>
                </c:pt>
                <c:pt idx="3">
                  <c:v>4</c:v>
                </c:pt>
                <c:pt idx="4">
                  <c:v>5</c:v>
                </c:pt>
                <c:pt idx="5">
                  <c:v>6 to 10</c:v>
                </c:pt>
                <c:pt idx="6">
                  <c:v>more than 10</c:v>
                </c:pt>
              </c:strCache>
            </c:strRef>
          </c:cat>
          <c:val>
            <c:numRef>
              <c:f>pivot!$B$10:$B$17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CD2B-486F-8B32-77A39D7E7003}"/>
            </c:ext>
          </c:extLst>
        </c:ser>
        <c:dLbls>
          <c:showLegendKey val="0"/>
          <c:showVal val="0"/>
          <c:showCatName val="0"/>
          <c:showSerName val="0"/>
          <c:showPercent val="0"/>
          <c:showBubbleSize val="0"/>
        </c:dLbls>
        <c:gapWidth val="80"/>
        <c:overlap val="25"/>
        <c:axId val="11975968"/>
        <c:axId val="11984608"/>
      </c:barChart>
      <c:catAx>
        <c:axId val="11975968"/>
        <c:scaling>
          <c:orientation val="minMax"/>
        </c:scaling>
        <c:delete val="0"/>
        <c:axPos val="b"/>
        <c:numFmt formatCode="General" sourceLinked="1"/>
        <c:majorTickMark val="none"/>
        <c:minorTickMark val="none"/>
        <c:tickLblPos val="nextTo"/>
        <c:spPr>
          <a:solidFill>
            <a:schemeClr val="bg1"/>
          </a:solid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cap="none" spc="20" normalizeH="0" baseline="0">
                <a:solidFill>
                  <a:schemeClr val="tx1"/>
                </a:solidFill>
                <a:latin typeface="+mn-lt"/>
                <a:ea typeface="+mn-ea"/>
                <a:cs typeface="+mn-cs"/>
              </a:defRPr>
            </a:pPr>
            <a:endParaRPr lang="en-US"/>
          </a:p>
        </c:txPr>
        <c:crossAx val="11984608"/>
        <c:crosses val="autoZero"/>
        <c:auto val="1"/>
        <c:lblAlgn val="ctr"/>
        <c:lblOffset val="100"/>
        <c:noMultiLvlLbl val="0"/>
      </c:catAx>
      <c:valAx>
        <c:axId val="1198460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tx1"/>
                </a:solidFill>
                <a:latin typeface="+mn-lt"/>
                <a:ea typeface="+mn-ea"/>
                <a:cs typeface="+mn-cs"/>
              </a:defRPr>
            </a:pPr>
            <a:endParaRPr lang="en-US"/>
          </a:p>
        </c:txPr>
        <c:crossAx val="1197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[ecommerce.xlsx]popular!pvtgender</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3"/>
          </a:solidFill>
          <a:ln w="19050">
            <a:solidFill>
              <a:schemeClr val="lt1"/>
            </a:solidFill>
          </a:ln>
          <a:effectLst/>
        </c:spPr>
      </c:pivotFmt>
    </c:pivotFmts>
    <c:plotArea>
      <c:layout/>
      <c:doughnutChart>
        <c:varyColors val="1"/>
        <c:ser>
          <c:idx val="0"/>
          <c:order val="0"/>
          <c:tx>
            <c:strRef>
              <c:f>popular!$J$3</c:f>
              <c:strCache>
                <c:ptCount val="1"/>
                <c:pt idx="0">
                  <c:v>Total</c:v>
                </c:pt>
              </c:strCache>
            </c:strRef>
          </c:tx>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5B83-407B-AF0F-4A32DA42216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5B83-407B-AF0F-4A32DA4221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83-407B-AF0F-4A32DA422162}"/>
              </c:ext>
            </c:extLst>
          </c:dPt>
          <c:dPt>
            <c:idx val="3"/>
            <c:bubble3D val="0"/>
            <c:spPr>
              <a:solidFill>
                <a:schemeClr val="accent3"/>
              </a:solidFill>
              <a:ln w="19050">
                <a:solidFill>
                  <a:schemeClr val="lt1"/>
                </a:solidFill>
              </a:ln>
              <a:effectLst/>
            </c:spPr>
            <c:extLst>
              <c:ext xmlns:c16="http://schemas.microsoft.com/office/drawing/2014/chart" uri="{C3380CC4-5D6E-409C-BE32-E72D297353CC}">
                <c16:uniqueId val="{00000007-5B83-407B-AF0F-4A32DA422162}"/>
              </c:ext>
            </c:extLst>
          </c:dPt>
          <c:cat>
            <c:strRef>
              <c:f>popular!$I$4:$I$8</c:f>
              <c:strCache>
                <c:ptCount val="4"/>
                <c:pt idx="0">
                  <c:v>Female</c:v>
                </c:pt>
                <c:pt idx="1">
                  <c:v>Male</c:v>
                </c:pt>
                <c:pt idx="2">
                  <c:v>Other</c:v>
                </c:pt>
                <c:pt idx="3">
                  <c:v>Unknown</c:v>
                </c:pt>
              </c:strCache>
            </c:strRef>
          </c:cat>
          <c:val>
            <c:numRef>
              <c:f>popular!$J$4:$J$8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5B83-407B-AF0F-4A32DA4221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[ecommerce.xlsx]days to deliver!pvtduration</c:name>
    <c:fmtId val="2"/>
  </c:pivotSource>
  <c:chart>
    <c:autoTitleDeleted val="1"/>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'days to deliver'!$B$3</c:f>
              <c:strCache>
                <c:ptCount val="1"/>
                <c:pt idx="0">
                  <c:v>Total</c:v>
                </c:pt>
              </c:strCache>
            </c:strRef>
          </c:tx>
          <c:spPr>
            <a:solidFill>
              <a:schemeClr val="tx2">
                <a:lumMod val="90000"/>
                <a:lumOff val="10000"/>
              </a:schemeClr>
            </a:solidFill>
            <a:ln>
              <a:noFill/>
            </a:ln>
            <a:effectLst/>
          </c:spPr>
          <c:invertIfNegative val="0"/>
          <c:cat>
            <c:strRef>
              <c:f>'days to deliver'!$A$4:$A$19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'days to deliver'!$B$4:$B$19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F36D-4165-A4CD-F4F37EE629A9}"/>
            </c:ext>
          </c:extLst>
        </c:ser>
        <c:dLbls>
          <c:showLegendKey val="0"/>
          <c:showVal val="0"/>
          <c:showCatName val="0"/>
          <c:showSerName val="0"/>
          <c:showPercent val="0"/>
          <c:showBubbleSize val="0"/>
        </c:dLbls>
        <c:gapWidth val="219"/>
        <c:overlap val="-27"/>
        <c:axId val="343449248"/>
        <c:axId val="343390688"/>
      </c:barChart>
      <c:catAx>
        <c:axId val="34344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3390688"/>
        <c:crosses val="autoZero"/>
        <c:auto val="1"/>
        <c:lblAlgn val="ctr"/>
        <c:lblOffset val="100"/>
        <c:noMultiLvlLbl val="0"/>
      </c:catAx>
      <c:valAx>
        <c:axId val="34339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344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[ecommerce.xlsx]customer satisfaction!pvtrating</c:name>
    <c:fmtId val="2"/>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tx1">
              <a:lumMod val="85000"/>
              <a:lumOff val="15000"/>
            </a:schemeClr>
          </a:solidFill>
          <a:ln>
            <a:noFill/>
          </a:ln>
          <a:effectLst/>
        </c:spPr>
      </c:pivotFmt>
      <c:pivotFmt>
        <c:idx val="6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satisfaction'!$B$3:$B$4</c:f>
              <c:strCache>
                <c:ptCount val="1"/>
                <c:pt idx="0">
                  <c:v>1</c:v>
                </c:pt>
              </c:strCache>
            </c:strRef>
          </c:tx>
          <c:spPr>
            <a:solidFill>
              <a:schemeClr val="tx1">
                <a:lumMod val="85000"/>
                <a:lumOff val="15000"/>
              </a:schemeClr>
            </a:solidFill>
            <a:ln>
              <a:noFill/>
            </a:ln>
            <a:effectLst/>
          </c:spPr>
          <c:invertIfNegative val="0"/>
          <c:cat>
            <c:strRef>
              <c:f>'customer satisfaction'!$A$5:$A$8</c:f>
              <c:strCache>
                <c:ptCount val="3"/>
                <c:pt idx="0">
                  <c:v>Jan</c:v>
                </c:pt>
                <c:pt idx="1">
                  <c:v>Feb</c:v>
                </c:pt>
                <c:pt idx="2">
                  <c:v>Mar</c:v>
                </c:pt>
              </c:strCache>
            </c:strRef>
          </c:cat>
          <c:val>
            <c:numRef>
              <c:f>'customer satisfaction'!$B$5:$B$8</c:f>
              <c:numCache>
                <c:formatCode>General</c:formatCode>
                <c:ptCount val="3"/>
                <c:pt idx="0">
                  <c:v>7</c:v>
                </c:pt>
                <c:pt idx="1">
                  <c:v>8</c:v>
                </c:pt>
                <c:pt idx="2">
                  <c:v>6</c:v>
                </c:pt>
              </c:numCache>
            </c:numRef>
          </c:val>
          <c:extLst>
            <c:ext xmlns:c16="http://schemas.microsoft.com/office/drawing/2014/chart" uri="{C3380CC4-5D6E-409C-BE32-E72D297353CC}">
              <c16:uniqueId val="{00000000-0D07-4AF0-9304-A1CD87ADF247}"/>
            </c:ext>
          </c:extLst>
        </c:ser>
        <c:ser>
          <c:idx val="1"/>
          <c:order val="1"/>
          <c:tx>
            <c:strRef>
              <c:f>'customer satisfaction'!$C$3:$C$4</c:f>
              <c:strCache>
                <c:ptCount val="1"/>
                <c:pt idx="0">
                  <c:v>2</c:v>
                </c:pt>
              </c:strCache>
            </c:strRef>
          </c:tx>
          <c:spPr>
            <a:solidFill>
              <a:schemeClr val="tx1">
                <a:lumMod val="95000"/>
                <a:lumOff val="5000"/>
              </a:schemeClr>
            </a:solidFill>
            <a:ln>
              <a:noFill/>
            </a:ln>
            <a:effectLst/>
          </c:spPr>
          <c:invertIfNegative val="0"/>
          <c:cat>
            <c:strRef>
              <c:f>'customer satisfaction'!$A$5:$A$8</c:f>
              <c:strCache>
                <c:ptCount val="3"/>
                <c:pt idx="0">
                  <c:v>Jan</c:v>
                </c:pt>
                <c:pt idx="1">
                  <c:v>Feb</c:v>
                </c:pt>
                <c:pt idx="2">
                  <c:v>Mar</c:v>
                </c:pt>
              </c:strCache>
            </c:strRef>
          </c:cat>
          <c:val>
            <c:numRef>
              <c:f>'customer satisfaction'!$C$5:$C$8</c:f>
              <c:numCache>
                <c:formatCode>General</c:formatCode>
                <c:ptCount val="3"/>
                <c:pt idx="0">
                  <c:v>37</c:v>
                </c:pt>
                <c:pt idx="1">
                  <c:v>51</c:v>
                </c:pt>
                <c:pt idx="2">
                  <c:v>39</c:v>
                </c:pt>
              </c:numCache>
            </c:numRef>
          </c:val>
          <c:extLst>
            <c:ext xmlns:c16="http://schemas.microsoft.com/office/drawing/2014/chart" uri="{C3380CC4-5D6E-409C-BE32-E72D297353CC}">
              <c16:uniqueId val="{00000001-0D07-4AF0-9304-A1CD87ADF247}"/>
            </c:ext>
          </c:extLst>
        </c:ser>
        <c:ser>
          <c:idx val="2"/>
          <c:order val="2"/>
          <c:tx>
            <c:strRef>
              <c:f>'customer satisfaction'!$D$3:$D$4</c:f>
              <c:strCache>
                <c:ptCount val="1"/>
                <c:pt idx="0">
                  <c:v>3</c:v>
                </c:pt>
              </c:strCache>
            </c:strRef>
          </c:tx>
          <c:spPr>
            <a:solidFill>
              <a:schemeClr val="bg2">
                <a:lumMod val="25000"/>
              </a:schemeClr>
            </a:solidFill>
            <a:ln>
              <a:noFill/>
            </a:ln>
            <a:effectLst/>
          </c:spPr>
          <c:invertIfNegative val="0"/>
          <c:cat>
            <c:strRef>
              <c:f>'customer satisfaction'!$A$5:$A$8</c:f>
              <c:strCache>
                <c:ptCount val="3"/>
                <c:pt idx="0">
                  <c:v>Jan</c:v>
                </c:pt>
                <c:pt idx="1">
                  <c:v>Feb</c:v>
                </c:pt>
                <c:pt idx="2">
                  <c:v>Mar</c:v>
                </c:pt>
              </c:strCache>
            </c:strRef>
          </c:cat>
          <c:val>
            <c:numRef>
              <c:f>'customer satisfaction'!$D$5:$D$8</c:f>
              <c:numCache>
                <c:formatCode>General</c:formatCode>
                <c:ptCount val="3"/>
                <c:pt idx="0">
                  <c:v>150</c:v>
                </c:pt>
                <c:pt idx="1">
                  <c:v>182</c:v>
                </c:pt>
                <c:pt idx="2">
                  <c:v>163</c:v>
                </c:pt>
              </c:numCache>
            </c:numRef>
          </c:val>
          <c:extLst>
            <c:ext xmlns:c16="http://schemas.microsoft.com/office/drawing/2014/chart" uri="{C3380CC4-5D6E-409C-BE32-E72D297353CC}">
              <c16:uniqueId val="{00000002-0D07-4AF0-9304-A1CD87ADF247}"/>
            </c:ext>
          </c:extLst>
        </c:ser>
        <c:ser>
          <c:idx val="3"/>
          <c:order val="3"/>
          <c:tx>
            <c:strRef>
              <c:f>'customer satisfaction'!$E$3:$E$4</c:f>
              <c:strCache>
                <c:ptCount val="1"/>
                <c:pt idx="0">
                  <c:v>4</c:v>
                </c:pt>
              </c:strCache>
            </c:strRef>
          </c:tx>
          <c:spPr>
            <a:solidFill>
              <a:schemeClr val="tx2">
                <a:lumMod val="50000"/>
                <a:lumOff val="50000"/>
              </a:schemeClr>
            </a:solidFill>
            <a:ln>
              <a:noFill/>
            </a:ln>
            <a:effectLst/>
          </c:spPr>
          <c:invertIfNegative val="0"/>
          <c:cat>
            <c:strRef>
              <c:f>'customer satisfaction'!$A$5:$A$8</c:f>
              <c:strCache>
                <c:ptCount val="3"/>
                <c:pt idx="0">
                  <c:v>Jan</c:v>
                </c:pt>
                <c:pt idx="1">
                  <c:v>Feb</c:v>
                </c:pt>
                <c:pt idx="2">
                  <c:v>Mar</c:v>
                </c:pt>
              </c:strCache>
            </c:strRef>
          </c:cat>
          <c:val>
            <c:numRef>
              <c:f>'customer satisfaction'!$E$5:$E$8</c:f>
              <c:numCache>
                <c:formatCode>General</c:formatCode>
                <c:ptCount val="3"/>
                <c:pt idx="0">
                  <c:v>312</c:v>
                </c:pt>
                <c:pt idx="1">
                  <c:v>373</c:v>
                </c:pt>
                <c:pt idx="2">
                  <c:v>351</c:v>
                </c:pt>
              </c:numCache>
            </c:numRef>
          </c:val>
          <c:extLst>
            <c:ext xmlns:c16="http://schemas.microsoft.com/office/drawing/2014/chart" uri="{C3380CC4-5D6E-409C-BE32-E72D297353CC}">
              <c16:uniqueId val="{0000000B-0D07-4AF0-9304-A1CD87ADF247}"/>
            </c:ext>
          </c:extLst>
        </c:ser>
        <c:ser>
          <c:idx val="4"/>
          <c:order val="4"/>
          <c:tx>
            <c:strRef>
              <c:f>'customer satisfaction'!$F$3:$F$4</c:f>
              <c:strCache>
                <c:ptCount val="1"/>
                <c:pt idx="0">
                  <c:v>5</c:v>
                </c:pt>
              </c:strCache>
            </c:strRef>
          </c:tx>
          <c:spPr>
            <a:solidFill>
              <a:schemeClr val="accent5">
                <a:lumMod val="75000"/>
              </a:schemeClr>
            </a:solidFill>
            <a:ln>
              <a:noFill/>
            </a:ln>
            <a:effectLst/>
          </c:spPr>
          <c:invertIfNegative val="0"/>
          <c:cat>
            <c:strRef>
              <c:f>'customer satisfaction'!$A$5:$A$8</c:f>
              <c:strCache>
                <c:ptCount val="3"/>
                <c:pt idx="0">
                  <c:v>Jan</c:v>
                </c:pt>
                <c:pt idx="1">
                  <c:v>Feb</c:v>
                </c:pt>
                <c:pt idx="2">
                  <c:v>Mar</c:v>
                </c:pt>
              </c:strCache>
            </c:strRef>
          </c:cat>
          <c:val>
            <c:numRef>
              <c:f>'customer satisfaction'!$F$5:$F$8</c:f>
              <c:numCache>
                <c:formatCode>General</c:formatCode>
                <c:ptCount val="3"/>
                <c:pt idx="0">
                  <c:v>224</c:v>
                </c:pt>
                <c:pt idx="1">
                  <c:v>247</c:v>
                </c:pt>
                <c:pt idx="2">
                  <c:v>250</c:v>
                </c:pt>
              </c:numCache>
            </c:numRef>
          </c:val>
          <c:extLst>
            <c:ext xmlns:c16="http://schemas.microsoft.com/office/drawing/2014/chart" uri="{C3380CC4-5D6E-409C-BE32-E72D297353CC}">
              <c16:uniqueId val="{00000000-9556-4346-9A7F-EDDAF63C9892}"/>
            </c:ext>
          </c:extLst>
        </c:ser>
        <c:dLbls>
          <c:showLegendKey val="0"/>
          <c:showVal val="0"/>
          <c:showCatName val="0"/>
          <c:showSerName val="0"/>
          <c:showPercent val="0"/>
          <c:showBubbleSize val="0"/>
        </c:dLbls>
        <c:gapWidth val="219"/>
        <c:overlap val="-27"/>
        <c:axId val="166901552"/>
        <c:axId val="166902032"/>
      </c:barChart>
      <c:catAx>
        <c:axId val="16690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902032"/>
        <c:crosses val="autoZero"/>
        <c:auto val="1"/>
        <c:lblAlgn val="ctr"/>
        <c:lblOffset val="100"/>
        <c:noMultiLvlLbl val="0"/>
      </c:catAx>
      <c:valAx>
        <c:axId val="16690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90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[ecommerce.xlsx]Sheet8!pvttrend</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5">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5">
                <a:lumMod val="75000"/>
              </a:schemeClr>
            </a:solidFill>
            <a:ln w="9525">
              <a:solidFill>
                <a:schemeClr val="accent2"/>
              </a:solidFill>
            </a:ln>
            <a:effectLst/>
          </c:spPr>
        </c:marker>
      </c:pivotFmt>
      <c:pivotFmt>
        <c:idx val="3"/>
        <c:spPr>
          <a:solidFill>
            <a:schemeClr val="accent1"/>
          </a:solidFill>
          <a:ln w="28575" cap="rnd">
            <a:solidFill>
              <a:schemeClr val="accent1"/>
            </a:solidFill>
            <a:round/>
          </a:ln>
          <a:effectLst/>
        </c:spPr>
        <c:marker>
          <c:symbol val="circle"/>
          <c:size val="5"/>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Sheet8!$B$7</c:f>
              <c:strCache>
                <c:ptCount val="1"/>
                <c:pt idx="0">
                  <c:v>Sum of Quantity</c:v>
                </c:pt>
              </c:strCache>
            </c:strRef>
          </c:tx>
          <c:spPr>
            <a:ln w="28575" cap="rnd">
              <a:solidFill>
                <a:schemeClr val="accent1"/>
              </a:solidFill>
              <a:round/>
            </a:ln>
            <a:effectLst/>
          </c:spPr>
          <c:marker>
            <c:symbol val="circle"/>
            <c:size val="5"/>
            <c:spPr>
              <a:solidFill>
                <a:schemeClr val="tx2">
                  <a:lumMod val="90000"/>
                  <a:lumOff val="10000"/>
                </a:schemeClr>
              </a:solidFill>
              <a:ln w="9525">
                <a:solidFill>
                  <a:schemeClr val="accent1"/>
                </a:solidFill>
              </a:ln>
              <a:effectLst/>
            </c:spPr>
          </c:marker>
          <c:cat>
            <c:strRef>
              <c:f>Sheet8!$A$8:$A$21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6093-49A5-8D56-3461417D47D9}"/>
            </c:ext>
          </c:extLst>
        </c:ser>
        <c:dLbls>
          <c:showLegendKey val="0"/>
          <c:showVal val="0"/>
          <c:showCatName val="0"/>
          <c:showSerName val="0"/>
          <c:showPercent val="0"/>
          <c:showBubbleSize val="0"/>
        </c:dLbls>
        <c:marker val="1"/>
        <c:smooth val="0"/>
        <c:axId val="525892784"/>
        <c:axId val="525884144"/>
      </c:lineChart>
      <c:lineChart>
        <c:grouping val="stacked"/>
        <c:varyColors val="0"/>
        <c:ser>
          <c:idx val="1"/>
          <c:order val="1"/>
          <c:tx>
            <c:strRef>
              <c:f>Sheet8!$C$7</c:f>
              <c:strCache>
                <c:ptCount val="1"/>
                <c:pt idx="0">
                  <c:v>Sum of Amount</c:v>
                </c:pt>
              </c:strCache>
            </c:strRef>
          </c:tx>
          <c:spPr>
            <a:ln w="28575" cap="rnd">
              <a:solidFill>
                <a:schemeClr val="accent2"/>
              </a:solidFill>
              <a:round/>
            </a:ln>
            <a:effectLst/>
          </c:spPr>
          <c:marker>
            <c:symbol val="none"/>
          </c:marker>
          <c:cat>
            <c:strRef>
              <c:f>Sheet8!$A$8:$A$21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Sheet8!$C$8:$C$21</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093-49A5-8D56-3461417D47D9}"/>
            </c:ext>
          </c:extLst>
        </c:ser>
        <c:dLbls>
          <c:showLegendKey val="0"/>
          <c:showVal val="0"/>
          <c:showCatName val="0"/>
          <c:showSerName val="0"/>
          <c:showPercent val="0"/>
          <c:showBubbleSize val="0"/>
        </c:dLbls>
        <c:marker val="1"/>
        <c:smooth val="0"/>
        <c:axId val="343388288"/>
        <c:axId val="343404608"/>
      </c:lineChart>
      <c:catAx>
        <c:axId val="52589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84144"/>
        <c:crosses val="autoZero"/>
        <c:auto val="1"/>
        <c:lblAlgn val="ctr"/>
        <c:lblOffset val="100"/>
        <c:noMultiLvlLbl val="0"/>
      </c:catAx>
      <c:valAx>
        <c:axId val="52588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92784"/>
        <c:crosses val="autoZero"/>
        <c:crossBetween val="between"/>
      </c:valAx>
      <c:valAx>
        <c:axId val="3434046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388288"/>
        <c:crosses val="max"/>
        <c:crossBetween val="between"/>
      </c:valAx>
      <c:catAx>
        <c:axId val="343388288"/>
        <c:scaling>
          <c:orientation val="minMax"/>
        </c:scaling>
        <c:delete val="1"/>
        <c:axPos val="b"/>
        <c:numFmt formatCode="General" sourceLinked="1"/>
        <c:majorTickMark val="out"/>
        <c:minorTickMark val="none"/>
        <c:tickLblPos val="nextTo"/>
        <c:crossAx val="343404608"/>
        <c:crosses val="autoZero"/>
        <c:auto val="1"/>
        <c:lblAlgn val="ctr"/>
        <c:lblOffset val="100"/>
        <c:noMultiLvlLbl val="0"/>
      </c:cat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[ecommerce.xlsx]popular!pvtproduct</c:name>
    <c:fmtId val="24"/>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popular!$B$3:$B$4</c:f>
              <c:strCache>
                <c:ptCount val="1"/>
                <c:pt idx="0">
                  <c:v>Female</c:v>
                </c:pt>
              </c:strCache>
            </c:strRef>
          </c:tx>
          <c:spPr>
            <a:solidFill>
              <a:schemeClr val="tx2">
                <a:lumMod val="90000"/>
                <a:lumOff val="10000"/>
              </a:schemeClr>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20F9-4D33-8364-0DF80DE8E8F8}"/>
            </c:ext>
          </c:extLst>
        </c:ser>
        <c:ser>
          <c:idx val="1"/>
          <c:order val="1"/>
          <c:tx>
            <c:strRef>
              <c:f>popular!$C$3:$C$4</c:f>
              <c:strCache>
                <c:ptCount val="1"/>
                <c:pt idx="0">
                  <c:v>Male</c:v>
                </c:pt>
              </c:strCache>
            </c:strRef>
          </c:tx>
          <c:spPr>
            <a:solidFill>
              <a:schemeClr val="accent5">
                <a:lumMod val="75000"/>
              </a:schemeClr>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20F9-4D33-8364-0DF80DE8E8F8}"/>
            </c:ext>
          </c:extLst>
        </c:ser>
        <c:ser>
          <c:idx val="2"/>
          <c:order val="2"/>
          <c:tx>
            <c:strRef>
              <c:f>popular!$D$3:$D$4</c:f>
              <c:strCache>
                <c:ptCount val="1"/>
                <c:pt idx="0">
                  <c:v>Other</c:v>
                </c:pt>
              </c:strCache>
            </c:strRef>
          </c:tx>
          <c:spPr>
            <a:solidFill>
              <a:schemeClr val="accent3"/>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20F9-4D33-8364-0DF80DE8E8F8}"/>
            </c:ext>
          </c:extLst>
        </c:ser>
        <c:ser>
          <c:idx val="3"/>
          <c:order val="3"/>
          <c:tx>
            <c:strRef>
              <c:f>popular!$E$3:$E$4</c:f>
              <c:strCache>
                <c:ptCount val="1"/>
                <c:pt idx="0">
                  <c:v>Unknown</c:v>
                </c:pt>
              </c:strCache>
            </c:strRef>
          </c:tx>
          <c:spPr>
            <a:solidFill>
              <a:schemeClr val="accent4"/>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20F9-4D33-8364-0DF80DE8E8F8}"/>
            </c:ext>
          </c:extLst>
        </c:ser>
        <c:dLbls>
          <c:showLegendKey val="0"/>
          <c:showVal val="0"/>
          <c:showCatName val="0"/>
          <c:showSerName val="0"/>
          <c:showPercent val="0"/>
          <c:showBubbleSize val="0"/>
        </c:dLbls>
        <c:gapWidth val="182"/>
        <c:overlap val="100"/>
        <c:axId val="1098119616"/>
        <c:axId val="1098132576"/>
      </c:barChart>
      <c:catAx>
        <c:axId val="1098119616"/>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32576"/>
        <c:crosses val="autoZero"/>
        <c:auto val="1"/>
        <c:lblAlgn val="ctr"/>
        <c:lblOffset val="100"/>
        <c:noMultiLvlLbl val="0"/>
      </c:catAx>
      <c:valAx>
        <c:axId val="109813257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19616"/>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[ecommerce.xlsx]popular!pvtgender</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90000"/>
              <a:lumOff val="10000"/>
            </a:schemeClr>
          </a:solidFill>
          <a:ln w="19050">
            <a:solidFill>
              <a:schemeClr val="lt1"/>
            </a:solidFill>
          </a:ln>
          <a:effectLst/>
        </c:spPr>
      </c:pivotFmt>
      <c:pivotFmt>
        <c:idx val="12"/>
        <c:spPr>
          <a:solidFill>
            <a:srgbClr val="FF0000"/>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3"/>
          </a:solidFill>
          <a:ln w="19050">
            <a:solidFill>
              <a:schemeClr val="lt1"/>
            </a:solidFill>
          </a:ln>
          <a:effectLst/>
        </c:spPr>
      </c:pivotFmt>
    </c:pivotFmts>
    <c:plotArea>
      <c:layout/>
      <c:doughnutChart>
        <c:varyColors val="1"/>
        <c:ser>
          <c:idx val="0"/>
          <c:order val="0"/>
          <c:tx>
            <c:strRef>
              <c:f>popular!$J$3</c:f>
              <c:strCache>
                <c:ptCount val="1"/>
                <c:pt idx="0">
                  <c:v>Total</c:v>
                </c:pt>
              </c:strCache>
            </c:strRef>
          </c:tx>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A821-4603-A002-8C262569E7F1}"/>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A821-4603-A002-8C262569E7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21-4603-A002-8C262569E7F1}"/>
              </c:ext>
            </c:extLst>
          </c:dPt>
          <c:dPt>
            <c:idx val="3"/>
            <c:bubble3D val="0"/>
            <c:spPr>
              <a:solidFill>
                <a:schemeClr val="accent3"/>
              </a:solidFill>
              <a:ln w="19050">
                <a:solidFill>
                  <a:schemeClr val="lt1"/>
                </a:solidFill>
              </a:ln>
              <a:effectLst/>
            </c:spPr>
            <c:extLst>
              <c:ext xmlns:c16="http://schemas.microsoft.com/office/drawing/2014/chart" uri="{C3380CC4-5D6E-409C-BE32-E72D297353CC}">
                <c16:uniqueId val="{00000007-A821-4603-A002-8C262569E7F1}"/>
              </c:ext>
            </c:extLst>
          </c:dPt>
          <c:cat>
            <c:strRef>
              <c:f>popular!$I$4:$I$8</c:f>
              <c:strCache>
                <c:ptCount val="4"/>
                <c:pt idx="0">
                  <c:v>Female</c:v>
                </c:pt>
                <c:pt idx="1">
                  <c:v>Male</c:v>
                </c:pt>
                <c:pt idx="2">
                  <c:v>Other</c:v>
                </c:pt>
                <c:pt idx="3">
                  <c:v>Unknown</c:v>
                </c:pt>
              </c:strCache>
            </c:strRef>
          </c:cat>
          <c:val>
            <c:numRef>
              <c:f>popular!$J$4:$J$8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A821-4603-A002-8C262569E7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[ecommerce.xlsx]popular!pvtgender</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popular!$J$3</c:f>
              <c:strCache>
                <c:ptCount val="1"/>
                <c:pt idx="0">
                  <c:v>Total</c:v>
                </c:pt>
              </c:strCache>
            </c:strRef>
          </c:tx>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0962-4895-AE38-5071C23C9A9B}"/>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962-4895-AE38-5071C23C9A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9E-4CF6-8BCD-6AF01B2E24AD}"/>
              </c:ext>
            </c:extLst>
          </c:dPt>
          <c:dPt>
            <c:idx val="3"/>
            <c:bubble3D val="0"/>
            <c:spPr>
              <a:solidFill>
                <a:schemeClr val="accent3"/>
              </a:solidFill>
              <a:ln w="19050">
                <a:solidFill>
                  <a:schemeClr val="lt1"/>
                </a:solidFill>
              </a:ln>
              <a:effectLst/>
            </c:spPr>
            <c:extLst>
              <c:ext xmlns:c16="http://schemas.microsoft.com/office/drawing/2014/chart" uri="{C3380CC4-5D6E-409C-BE32-E72D297353CC}">
                <c16:uniqueId val="{00000004-0962-4895-AE38-5071C23C9A9B}"/>
              </c:ext>
            </c:extLst>
          </c:dPt>
          <c:cat>
            <c:strRef>
              <c:f>popular!$I$4:$I$8</c:f>
              <c:strCache>
                <c:ptCount val="4"/>
                <c:pt idx="0">
                  <c:v>Female</c:v>
                </c:pt>
                <c:pt idx="1">
                  <c:v>Male</c:v>
                </c:pt>
                <c:pt idx="2">
                  <c:v>Other</c:v>
                </c:pt>
                <c:pt idx="3">
                  <c:v>Unknown</c:v>
                </c:pt>
              </c:strCache>
            </c:strRef>
          </c:cat>
          <c:val>
            <c:numRef>
              <c:f>popular!$J$4:$J$8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0962-4895-AE38-5071C23C9A9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[ecommerce.xlsx]popular!pvtproduct</c:name>
    <c:fmtId val="17"/>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popular!$B$3:$B$4</c:f>
              <c:strCache>
                <c:ptCount val="1"/>
                <c:pt idx="0">
                  <c:v>Female</c:v>
                </c:pt>
              </c:strCache>
            </c:strRef>
          </c:tx>
          <c:spPr>
            <a:solidFill>
              <a:schemeClr val="tx2">
                <a:lumMod val="90000"/>
                <a:lumOff val="10000"/>
              </a:schemeClr>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6D4-4998-9FCB-81287E18A836}"/>
            </c:ext>
          </c:extLst>
        </c:ser>
        <c:ser>
          <c:idx val="1"/>
          <c:order val="1"/>
          <c:tx>
            <c:strRef>
              <c:f>popular!$C$3:$C$4</c:f>
              <c:strCache>
                <c:ptCount val="1"/>
                <c:pt idx="0">
                  <c:v>Male</c:v>
                </c:pt>
              </c:strCache>
            </c:strRef>
          </c:tx>
          <c:spPr>
            <a:solidFill>
              <a:schemeClr val="accent5">
                <a:lumMod val="75000"/>
              </a:schemeClr>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06D4-4998-9FCB-81287E18A836}"/>
            </c:ext>
          </c:extLst>
        </c:ser>
        <c:ser>
          <c:idx val="2"/>
          <c:order val="2"/>
          <c:tx>
            <c:strRef>
              <c:f>popular!$D$3:$D$4</c:f>
              <c:strCache>
                <c:ptCount val="1"/>
                <c:pt idx="0">
                  <c:v>Other</c:v>
                </c:pt>
              </c:strCache>
            </c:strRef>
          </c:tx>
          <c:spPr>
            <a:solidFill>
              <a:schemeClr val="accent3"/>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06D4-4998-9FCB-81287E18A836}"/>
            </c:ext>
          </c:extLst>
        </c:ser>
        <c:ser>
          <c:idx val="3"/>
          <c:order val="3"/>
          <c:tx>
            <c:strRef>
              <c:f>popular!$E$3:$E$4</c:f>
              <c:strCache>
                <c:ptCount val="1"/>
                <c:pt idx="0">
                  <c:v>Unknown</c:v>
                </c:pt>
              </c:strCache>
            </c:strRef>
          </c:tx>
          <c:spPr>
            <a:solidFill>
              <a:schemeClr val="accent4"/>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06D4-4998-9FCB-81287E18A836}"/>
            </c:ext>
          </c:extLst>
        </c:ser>
        <c:dLbls>
          <c:showLegendKey val="0"/>
          <c:showVal val="0"/>
          <c:showCatName val="0"/>
          <c:showSerName val="0"/>
          <c:showPercent val="0"/>
          <c:showBubbleSize val="0"/>
        </c:dLbls>
        <c:gapWidth val="182"/>
        <c:overlap val="100"/>
        <c:axId val="1098119616"/>
        <c:axId val="1098132576"/>
      </c:barChart>
      <c:catAx>
        <c:axId val="109811961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32576"/>
        <c:crosses val="autoZero"/>
        <c:auto val="1"/>
        <c:lblAlgn val="ctr"/>
        <c:lblOffset val="100"/>
        <c:noMultiLvlLbl val="0"/>
      </c:catAx>
      <c:valAx>
        <c:axId val="1098132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1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[ecommerce.xlsx]days to deliver!pvtduration</c:name>
    <c:fmtId val="0"/>
  </c:pivotSource>
  <c:chart>
    <c:autoTitleDeleted val="1"/>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'days to deliver'!$B$3</c:f>
              <c:strCache>
                <c:ptCount val="1"/>
                <c:pt idx="0">
                  <c:v>Total</c:v>
                </c:pt>
              </c:strCache>
            </c:strRef>
          </c:tx>
          <c:spPr>
            <a:solidFill>
              <a:schemeClr val="tx2">
                <a:lumMod val="90000"/>
                <a:lumOff val="10000"/>
              </a:schemeClr>
            </a:solidFill>
            <a:ln>
              <a:noFill/>
            </a:ln>
            <a:effectLst/>
          </c:spPr>
          <c:invertIfNegative val="0"/>
          <c:cat>
            <c:strRef>
              <c:f>'days to deliver'!$A$4:$A$19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'days to deliver'!$B$4:$B$19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6C3A-46D3-8C47-22D359148768}"/>
            </c:ext>
          </c:extLst>
        </c:ser>
        <c:dLbls>
          <c:showLegendKey val="0"/>
          <c:showVal val="0"/>
          <c:showCatName val="0"/>
          <c:showSerName val="0"/>
          <c:showPercent val="0"/>
          <c:showBubbleSize val="0"/>
        </c:dLbls>
        <c:gapWidth val="219"/>
        <c:overlap val="-27"/>
        <c:axId val="343449248"/>
        <c:axId val="343390688"/>
      </c:barChart>
      <c:catAx>
        <c:axId val="34344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3390688"/>
        <c:crosses val="autoZero"/>
        <c:auto val="1"/>
        <c:lblAlgn val="ctr"/>
        <c:lblOffset val="100"/>
        <c:noMultiLvlLbl val="0"/>
      </c:catAx>
      <c:valAx>
        <c:axId val="34339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344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[ecommerce.xlsx]customer satisfaction!pvtrating</c:name>
    <c:fmtId val="0"/>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satisfaction'!$B$3:$B$4</c:f>
              <c:strCache>
                <c:ptCount val="1"/>
                <c:pt idx="0">
                  <c:v>1</c:v>
                </c:pt>
              </c:strCache>
            </c:strRef>
          </c:tx>
          <c:spPr>
            <a:solidFill>
              <a:schemeClr val="tx1">
                <a:lumMod val="85000"/>
                <a:lumOff val="15000"/>
              </a:schemeClr>
            </a:solidFill>
            <a:ln>
              <a:noFill/>
            </a:ln>
            <a:effectLst/>
          </c:spPr>
          <c:invertIfNegative val="0"/>
          <c:cat>
            <c:strRef>
              <c:f>'customer satisfaction'!$A$5:$A$8</c:f>
              <c:strCache>
                <c:ptCount val="3"/>
                <c:pt idx="0">
                  <c:v>Jan</c:v>
                </c:pt>
                <c:pt idx="1">
                  <c:v>Feb</c:v>
                </c:pt>
                <c:pt idx="2">
                  <c:v>Mar</c:v>
                </c:pt>
              </c:strCache>
            </c:strRef>
          </c:cat>
          <c:val>
            <c:numRef>
              <c:f>'customer satisfaction'!$B$5:$B$8</c:f>
              <c:numCache>
                <c:formatCode>General</c:formatCode>
                <c:ptCount val="3"/>
                <c:pt idx="0">
                  <c:v>7</c:v>
                </c:pt>
                <c:pt idx="1">
                  <c:v>8</c:v>
                </c:pt>
                <c:pt idx="2">
                  <c:v>6</c:v>
                </c:pt>
              </c:numCache>
            </c:numRef>
          </c:val>
          <c:extLst>
            <c:ext xmlns:c16="http://schemas.microsoft.com/office/drawing/2014/chart" uri="{C3380CC4-5D6E-409C-BE32-E72D297353CC}">
              <c16:uniqueId val="{00000000-BACE-4E54-830E-8422237B3840}"/>
            </c:ext>
          </c:extLst>
        </c:ser>
        <c:ser>
          <c:idx val="1"/>
          <c:order val="1"/>
          <c:tx>
            <c:strRef>
              <c:f>'customer satisfaction'!$C$3:$C$4</c:f>
              <c:strCache>
                <c:ptCount val="1"/>
                <c:pt idx="0">
                  <c:v>2</c:v>
                </c:pt>
              </c:strCache>
            </c:strRef>
          </c:tx>
          <c:spPr>
            <a:solidFill>
              <a:schemeClr val="tx1">
                <a:lumMod val="95000"/>
                <a:lumOff val="5000"/>
              </a:schemeClr>
            </a:solidFill>
            <a:ln>
              <a:noFill/>
            </a:ln>
            <a:effectLst/>
          </c:spPr>
          <c:invertIfNegative val="0"/>
          <c:cat>
            <c:strRef>
              <c:f>'customer satisfaction'!$A$5:$A$8</c:f>
              <c:strCache>
                <c:ptCount val="3"/>
                <c:pt idx="0">
                  <c:v>Jan</c:v>
                </c:pt>
                <c:pt idx="1">
                  <c:v>Feb</c:v>
                </c:pt>
                <c:pt idx="2">
                  <c:v>Mar</c:v>
                </c:pt>
              </c:strCache>
            </c:strRef>
          </c:cat>
          <c:val>
            <c:numRef>
              <c:f>'customer satisfaction'!$C$5:$C$8</c:f>
              <c:numCache>
                <c:formatCode>General</c:formatCode>
                <c:ptCount val="3"/>
                <c:pt idx="0">
                  <c:v>37</c:v>
                </c:pt>
                <c:pt idx="1">
                  <c:v>51</c:v>
                </c:pt>
                <c:pt idx="2">
                  <c:v>39</c:v>
                </c:pt>
              </c:numCache>
            </c:numRef>
          </c:val>
          <c:extLst>
            <c:ext xmlns:c16="http://schemas.microsoft.com/office/drawing/2014/chart" uri="{C3380CC4-5D6E-409C-BE32-E72D297353CC}">
              <c16:uniqueId val="{0000003E-BACE-4E54-830E-8422237B3840}"/>
            </c:ext>
          </c:extLst>
        </c:ser>
        <c:ser>
          <c:idx val="2"/>
          <c:order val="2"/>
          <c:tx>
            <c:strRef>
              <c:f>'customer satisfaction'!$D$3:$D$4</c:f>
              <c:strCache>
                <c:ptCount val="1"/>
                <c:pt idx="0">
                  <c:v>3</c:v>
                </c:pt>
              </c:strCache>
            </c:strRef>
          </c:tx>
          <c:spPr>
            <a:solidFill>
              <a:schemeClr val="bg2">
                <a:lumMod val="25000"/>
              </a:schemeClr>
            </a:solidFill>
            <a:ln>
              <a:noFill/>
            </a:ln>
            <a:effectLst/>
          </c:spPr>
          <c:invertIfNegative val="0"/>
          <c:cat>
            <c:strRef>
              <c:f>'customer satisfaction'!$A$5:$A$8</c:f>
              <c:strCache>
                <c:ptCount val="3"/>
                <c:pt idx="0">
                  <c:v>Jan</c:v>
                </c:pt>
                <c:pt idx="1">
                  <c:v>Feb</c:v>
                </c:pt>
                <c:pt idx="2">
                  <c:v>Mar</c:v>
                </c:pt>
              </c:strCache>
            </c:strRef>
          </c:cat>
          <c:val>
            <c:numRef>
              <c:f>'customer satisfaction'!$D$5:$D$8</c:f>
              <c:numCache>
                <c:formatCode>General</c:formatCode>
                <c:ptCount val="3"/>
                <c:pt idx="0">
                  <c:v>150</c:v>
                </c:pt>
                <c:pt idx="1">
                  <c:v>182</c:v>
                </c:pt>
                <c:pt idx="2">
                  <c:v>163</c:v>
                </c:pt>
              </c:numCache>
            </c:numRef>
          </c:val>
          <c:extLst>
            <c:ext xmlns:c16="http://schemas.microsoft.com/office/drawing/2014/chart" uri="{C3380CC4-5D6E-409C-BE32-E72D297353CC}">
              <c16:uniqueId val="{0000003F-BACE-4E54-830E-8422237B3840}"/>
            </c:ext>
          </c:extLst>
        </c:ser>
        <c:ser>
          <c:idx val="3"/>
          <c:order val="3"/>
          <c:tx>
            <c:strRef>
              <c:f>'customer satisfaction'!$E$3:$E$4</c:f>
              <c:strCache>
                <c:ptCount val="1"/>
                <c:pt idx="0">
                  <c:v>4</c:v>
                </c:pt>
              </c:strCache>
            </c:strRef>
          </c:tx>
          <c:spPr>
            <a:solidFill>
              <a:schemeClr val="tx2">
                <a:lumMod val="50000"/>
                <a:lumOff val="50000"/>
              </a:schemeClr>
            </a:solidFill>
            <a:ln>
              <a:noFill/>
            </a:ln>
            <a:effectLst/>
          </c:spPr>
          <c:invertIfNegative val="0"/>
          <c:cat>
            <c:strRef>
              <c:f>'customer satisfaction'!$A$5:$A$8</c:f>
              <c:strCache>
                <c:ptCount val="3"/>
                <c:pt idx="0">
                  <c:v>Jan</c:v>
                </c:pt>
                <c:pt idx="1">
                  <c:v>Feb</c:v>
                </c:pt>
                <c:pt idx="2">
                  <c:v>Mar</c:v>
                </c:pt>
              </c:strCache>
            </c:strRef>
          </c:cat>
          <c:val>
            <c:numRef>
              <c:f>'customer satisfaction'!$E$5:$E$8</c:f>
              <c:numCache>
                <c:formatCode>General</c:formatCode>
                <c:ptCount val="3"/>
                <c:pt idx="0">
                  <c:v>312</c:v>
                </c:pt>
                <c:pt idx="1">
                  <c:v>373</c:v>
                </c:pt>
                <c:pt idx="2">
                  <c:v>351</c:v>
                </c:pt>
              </c:numCache>
            </c:numRef>
          </c:val>
          <c:extLst>
            <c:ext xmlns:c16="http://schemas.microsoft.com/office/drawing/2014/chart" uri="{C3380CC4-5D6E-409C-BE32-E72D297353CC}">
              <c16:uniqueId val="{00000047-BACE-4E54-830E-8422237B3840}"/>
            </c:ext>
          </c:extLst>
        </c:ser>
        <c:ser>
          <c:idx val="4"/>
          <c:order val="4"/>
          <c:tx>
            <c:strRef>
              <c:f>'customer satisfaction'!$F$3:$F$4</c:f>
              <c:strCache>
                <c:ptCount val="1"/>
                <c:pt idx="0">
                  <c:v>5</c:v>
                </c:pt>
              </c:strCache>
            </c:strRef>
          </c:tx>
          <c:spPr>
            <a:solidFill>
              <a:schemeClr val="accent5">
                <a:lumMod val="75000"/>
              </a:schemeClr>
            </a:solidFill>
            <a:ln>
              <a:noFill/>
            </a:ln>
            <a:effectLst/>
          </c:spPr>
          <c:invertIfNegative val="0"/>
          <c:cat>
            <c:strRef>
              <c:f>'customer satisfaction'!$A$5:$A$8</c:f>
              <c:strCache>
                <c:ptCount val="3"/>
                <c:pt idx="0">
                  <c:v>Jan</c:v>
                </c:pt>
                <c:pt idx="1">
                  <c:v>Feb</c:v>
                </c:pt>
                <c:pt idx="2">
                  <c:v>Mar</c:v>
                </c:pt>
              </c:strCache>
            </c:strRef>
          </c:cat>
          <c:val>
            <c:numRef>
              <c:f>'customer satisfaction'!$F$5:$F$8</c:f>
              <c:numCache>
                <c:formatCode>General</c:formatCode>
                <c:ptCount val="3"/>
                <c:pt idx="0">
                  <c:v>224</c:v>
                </c:pt>
                <c:pt idx="1">
                  <c:v>247</c:v>
                </c:pt>
                <c:pt idx="2">
                  <c:v>250</c:v>
                </c:pt>
              </c:numCache>
            </c:numRef>
          </c:val>
          <c:extLst>
            <c:ext xmlns:c16="http://schemas.microsoft.com/office/drawing/2014/chart" uri="{C3380CC4-5D6E-409C-BE32-E72D297353CC}">
              <c16:uniqueId val="{00000000-61AF-4679-8E1A-50AA434BC420}"/>
            </c:ext>
          </c:extLst>
        </c:ser>
        <c:dLbls>
          <c:showLegendKey val="0"/>
          <c:showVal val="0"/>
          <c:showCatName val="0"/>
          <c:showSerName val="0"/>
          <c:showPercent val="0"/>
          <c:showBubbleSize val="0"/>
        </c:dLbls>
        <c:gapWidth val="219"/>
        <c:overlap val="-27"/>
        <c:axId val="166901552"/>
        <c:axId val="166902032"/>
      </c:barChart>
      <c:catAx>
        <c:axId val="16690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902032"/>
        <c:crosses val="autoZero"/>
        <c:auto val="1"/>
        <c:lblAlgn val="ctr"/>
        <c:lblOffset val="100"/>
        <c:noMultiLvlLbl val="0"/>
      </c:catAx>
      <c:valAx>
        <c:axId val="16690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90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[ecommerce.xlsx]Sheet8!pvttrend</c:name>
    <c:fmtId val="2"/>
  </c:pivotSource>
  <c:chart>
    <c:autoTitleDeleted val="0"/>
    <c:pivotFmts>
      <c:pivotFmt>
        <c:idx val="0"/>
        <c:spPr>
          <a:ln w="28575" cap="rnd">
            <a:solidFill>
              <a:schemeClr val="accent1"/>
            </a:solidFill>
            <a:round/>
          </a:ln>
          <a:effectLst/>
        </c:spPr>
        <c:marker>
          <c:symbol val="circle"/>
          <c:size val="5"/>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5">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5">
                <a:lumMod val="75000"/>
              </a:schemeClr>
            </a:solidFill>
            <a:ln w="9525">
              <a:solidFill>
                <a:schemeClr val="accent2"/>
              </a:solidFill>
            </a:ln>
            <a:effectLst/>
          </c:spPr>
        </c:marker>
      </c:pivotFmt>
    </c:pivotFmts>
    <c:plotArea>
      <c:layout/>
      <c:lineChart>
        <c:grouping val="standard"/>
        <c:varyColors val="0"/>
        <c:ser>
          <c:idx val="0"/>
          <c:order val="0"/>
          <c:tx>
            <c:strRef>
              <c:f>Sheet8!$B$7</c:f>
              <c:strCache>
                <c:ptCount val="1"/>
                <c:pt idx="0">
                  <c:v>Sum of Quantity</c:v>
                </c:pt>
              </c:strCache>
            </c:strRef>
          </c:tx>
          <c:spPr>
            <a:ln w="28575" cap="rnd">
              <a:solidFill>
                <a:schemeClr val="accent1"/>
              </a:solidFill>
              <a:round/>
            </a:ln>
            <a:effectLst/>
          </c:spPr>
          <c:marker>
            <c:symbol val="circle"/>
            <c:size val="5"/>
            <c:spPr>
              <a:solidFill>
                <a:schemeClr val="tx2">
                  <a:lumMod val="90000"/>
                  <a:lumOff val="10000"/>
                </a:schemeClr>
              </a:solidFill>
              <a:ln w="9525">
                <a:solidFill>
                  <a:schemeClr val="accent1"/>
                </a:solidFill>
              </a:ln>
              <a:effectLst/>
            </c:spPr>
          </c:marker>
          <c:cat>
            <c:strRef>
              <c:f>Sheet8!$A$8:$A$21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C88F-4658-91BA-28625350EC87}"/>
            </c:ext>
          </c:extLst>
        </c:ser>
        <c:ser>
          <c:idx val="1"/>
          <c:order val="1"/>
          <c:tx>
            <c:strRef>
              <c:f>Sheet8!$C$7</c:f>
              <c:strCache>
                <c:ptCount val="1"/>
                <c:pt idx="0">
                  <c:v>Sum of Amount</c:v>
                </c:pt>
              </c:strCache>
            </c:strRef>
          </c:tx>
          <c:spPr>
            <a:ln w="28575" cap="rnd">
              <a:solidFill>
                <a:schemeClr val="accent2"/>
              </a:solidFill>
              <a:round/>
            </a:ln>
            <a:effectLst/>
          </c:spPr>
          <c:marker>
            <c:symbol val="circle"/>
            <c:size val="5"/>
            <c:spPr>
              <a:solidFill>
                <a:schemeClr val="accent5">
                  <a:lumMod val="75000"/>
                </a:schemeClr>
              </a:solidFill>
              <a:ln w="9525">
                <a:solidFill>
                  <a:schemeClr val="accent2"/>
                </a:solidFill>
              </a:ln>
              <a:effectLst/>
            </c:spPr>
          </c:marker>
          <c:cat>
            <c:strRef>
              <c:f>Sheet8!$A$8:$A$21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Sheet8!$C$8:$C$21</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C88F-4658-91BA-28625350EC87}"/>
            </c:ext>
          </c:extLst>
        </c:ser>
        <c:dLbls>
          <c:showLegendKey val="0"/>
          <c:showVal val="0"/>
          <c:showCatName val="0"/>
          <c:showSerName val="0"/>
          <c:showPercent val="0"/>
          <c:showBubbleSize val="0"/>
        </c:dLbls>
        <c:marker val="1"/>
        <c:smooth val="0"/>
        <c:axId val="525892784"/>
        <c:axId val="525884144"/>
      </c:lineChart>
      <c:catAx>
        <c:axId val="52589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84144"/>
        <c:crosses val="autoZero"/>
        <c:auto val="1"/>
        <c:lblAlgn val="ctr"/>
        <c:lblOffset val="100"/>
        <c:noMultiLvlLbl val="0"/>
      </c:catAx>
      <c:valAx>
        <c:axId val="52588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92784"/>
        <c:crosses val="autoZero"/>
        <c:crossBetween val="between"/>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Customer Live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Customer Live</a:t>
          </a:r>
        </a:p>
      </cx:txPr>
    </cx:title>
    <cx:plotArea>
      <cx:plotAreaRegion>
        <cx:series layoutId="regionMap" uniqueId="{4F4B8413-A8C4-403A-95B1-221C927E409D}">
          <cx:tx>
            <cx:txData>
              <cx:f>_xlchart.v5.6</cx:f>
              <cx:v>Sum of Quantity</cx:v>
            </cx:txData>
          </cx:tx>
          <cx:spPr>
            <a:solidFill>
              <a:schemeClr val="tx1">
                <a:lumMod val="75000"/>
                <a:lumOff val="25000"/>
              </a:schemeClr>
            </a:solidFill>
          </cx:spPr>
          <cx:dataPt idx="18">
            <cx:spPr>
              <a:solidFill>
                <a:srgbClr val="0E2841">
                  <a:lumMod val="90000"/>
                  <a:lumOff val="10000"/>
                </a:srgbClr>
              </a:solidFill>
            </cx:spPr>
          </cx:dataPt>
          <cx:dataPt idx="36">
            <cx:spPr>
              <a:solidFill>
                <a:srgbClr val="0E2841">
                  <a:lumMod val="75000"/>
                  <a:lumOff val="25000"/>
                </a:srgbClr>
              </a:solidFill>
            </cx:spPr>
          </cx:dataPt>
          <cx:dataId val="0"/>
          <cx:layoutPr>
            <cx:geography cultureLanguage="en-US" cultureRegion="IN" attribution="Powered by Bing">
              <cx:geoCache provider="{E9337A44-BEBE-4D9F-B70C-5C5E7DAFC167}">
                <cx:binary>7H1pb9y40u5fCfL5yiOSIikenHmBkdSLdzvOJON8ETp2W9S+kFp//a22kzludTtHBqZx8TauZgaD
RCp2SQ9ZO4v/fuj+9ZCsV9WHLk0y9a+H7vePUuviX7/9ph7kOl2pkzR8qHKVP+mThzz9LX96Ch/W
vz1WqzbMgt+wiazfHuSq0uvu4//8G0YL1vlF/rDSYZ7d1uuq/7RWdaLVL+7tvfVh9ZiGmRcqXYUP
Gv3+0V0l4VNeZeHq4/Y9/PvHP5JVun5cfXDzOtP9xw/rTIe6/9wX698/bo2DP374bfxzO6x9SIB7
XT8CMeEntmnZ2GZEPF/844ckz4Iftw2E8Qnm2OIMRn751Stg5V0cPfOzenys1krBmz3/f3eArdeA
r/HHf/8KD5uvsQEgACx+//hnFur144c7vdJr9fFDqPLnz1X1br551T/vnr/Nb9sQ/s+/R38BX2v0
N69QHn/a/3ZrG8j/AjJMgFWzrlbqADDbJ0gwjDDn5vMFaG7DbJ4w2xSYWGwb53cxtR/p3SEmYL1L
dGRo/5EUYbY+CNRMEMoQtV5WtD2CGokTDhel3NqGejpH+3Ee0U8AeURxZAhfrh5hNR8AYXYCa5lQ
zOnLYkYjhLF5YjJi2RYS2whP52g/wiP6CQiPKI4MYafW+hBLWJxQBKLYfGsJY3RCqcUQwgD9a608
maH9+G6TT4B3m+DI0L1bPVRg62Q6P8Aatk8oBzltgdLdb3ehE0ts/oFpsLlGQL+Pt/1o7xljAuR7
qI4M9z/S1WNeHQRzAoa0iW1QvGPri3OMBTHFPrCnM7Qf6BH9BJBHFEcGsJsntVodAGBxgjc2NNhe
zzCaO1Y2PjFNmzBh0W25PZ2j/QiP6CcgPKI4MoQXyTrLDgIwxSZFAoOXtL2CMThYNuJglW0jO5mT
/cBuk0/AdZvgyGB1c/D3NwtX6UMsX/vERLYQhPD9nhPEQhBobMoR+FSvza738rUf672jTIB8L92R
IX8nVwfB3DLBDrMYsclbgRF8Qmxk2vZmyb/GfDpH+9Ee0U/AeURxZAh76+TDVQ5h1n9ebFvohFML
LKzN6t5cO0FOCxS3RSDIOZLe72JqP867Q0yAepfoyNCeJR+8vAI7+59Hm9gnHAtG8Y+ItoAgyLau
Nk9AwCMQ5Gyftf0u1vZjvjvEBMx3iY4M8zkkALJDAM5OOEGMUoRelvcY8E3E06bwDxqZ3dM52o/z
iH4CyCOKI0P4EuyzdbXuD7Co2QnjjHNi/tDTZLyo0QmjDDT5OFH1Hp72o7wzwgScd2iODOllnX7P
k0f9zyMNFhm3GbKsXR/LOkEMEROylS/rfNsgew9L+4HeGWEC0Ds0Rwb0aVqsq3CV/PNAEwxqGNvU
IuglWjJe0oieUJDqFEHMbHONQqDv4Ww/3jsjTMB7h+bY8M76w6ho28QQO+E/kpI7KnqToBaM2fbI
tT6dyM8bCL+mnoLu6+ePDNm7VbaJmlT1cIC1DClJbiHLROxFNI+TzhA6gbi3bZpi7Ea/i6v9KO95
swlY76E6MsTP19UhgqD0hPDn5OSLWN7I5S3/CsztTRwNEQx+9uuQyVR+9qO8RT0B363njw1ZKE07
RJkQOwHQoNzLom96UgzuQd55DO1Uht7Adot8CrhbBEeG7l2o4rDP639eTm8iYQRRCGb+DI6M1i7I
aQbFQxTqR7bX7nt42o/xzggTYN6hOTKkL1bxAeKdBAQwWNXchITy87UnDykQRczmI208lZ/9CG9R
T0B36/mjQ1ap9QG0L7jHFpT22QK/QGuOvSYo/mJw27LZSERfrKZy9Ba6W/ST8N2iODKEP6/lKj1A
GhIQBo+XmRS/Ec7clGQTMLYZepkDI794Ol/7cR7RT8B5RHFkON+F6+ogZZxQ5cdMAtGslwqvfSsZ
bpo2s1/KSUY4T+drP84j+gk4jyiODOeLXH34IwvWyfoQlrV1AgsaE/unZT12kJF9gi0C9WGgtjfX
COx3Mrcf8X2DTIB9H9mRYX+1Kg4gySETiQV4U+AuvSjrHV0NkhxUtQkG+ba1PZWf/ThvUU8AeOv5
I0P2clWFBzDDYN8UBLwoVOD/cKTG6xmUNCUIjDAxCmhOZmg/ttvkE8DdJjhCdIv8ILWc/AQ2UMAW
C/uHob0nyiWYxW0Mbtbztb2CN599KmdvI701wkSwt2iODO/ragUa+p+PixACuSioCLHZW5umYJ8k
hfJsNlbM0znaj/KIfgLGI4ojQ/hynT3mD+FB6kTECdrAy/kPdTxe0phAGRhnhGwKxF4Hrt/F1H6c
d4eYAPUu0dGhXT3All33ANuaickEA9/pRTjvqGcIo9hIgLW9d3vN5XoqX2+hvUU/CeotimPDOYdF
/c/DDOFsS5gCEhI/0o47ZflQ3mth2EaHRuHsy6kMvYHvFvkUeLcIjg7dg4hr8J5gk/LfS3inahfy
jBhyygIMsJG4zqfx8xa2r6gnQfvq+SND9mrdrA7SdgKgY5jbxPyxU2rHM0aQQ4ZtUta4XmA6R/vR
HdFPwHdEcWQI3ySrh/VhNjvCytzY1C9bGnejm4Aw39R+4RcNPVrD0/naj/OIfgLOI4qjw7mGXjf/
vAqGXKMgjEO1/Y9sBZjOW9UgkI+CZBToaDIqvr5JpnL0FsJb9JMQ3qI4MoTvQOsdIh8FUUyLCAaB
zLdKr6GQE0HtNcRLtvXwdI72Izyin4DwiOLIEP4UQnsgFT4eJgAibJMS8qOma7eoi0PVFzeh8Gck
qN/F1H6cd4eYAPUu0ZGhDfWJH5w19LQ6UD0uxZsmI28UekGHEcvEJtThjypE3sfVfrz3jDEB8D1U
R4l4la2qx8MEwGADBbQfQDb5URc0troRh4SVZYLdNhLkz1PxPYz9CvidcSaDv0P5v2AC/JrFrVff
9If74+eX39Pc7/29/SD0wZhAP0zwcbwTHGiGQK0jaBT1fP387ZcWf9CC7e+GhC/R0H087Uf6Ne3W
O7684q8/yv+6zn33eXIIIW3DnjfYMAH54bFNDWWcHEoFYDvUNmRTGdkP2hb1HtS2/gq6Um49f2SQ
brSNF66DQ+D6bC9zCpufRriC/EXQiwAE9A+1vI3uu3jaD/HuEFug7u+7uUt0hGDPIbX4EKqH/Oc3
3yPsoErjvd1VOex54bCr6e8gx7ZzjE8s6DBLbbJH4/7N0RSv/W24d4eZCPku4RHCfpavyvpQFSJQ
H2JhAPj5GhtbYGJjAVsthNhf3gcC6B3MvY3/eJCJ6I/Jjg37PFm9itu/ad+8e8lvshYQ9dxsVX++
xkbXZiecJaCkc8ezmszRG1hv00+BeZvi2BCGBXRRh+rD9fdQFYfQ4xSq9zCDNAXI+M21AzWU4kM8
Bdp07pHu72TtDczfeMcp4L9BeoSz4BIagh8C/+cSMc4hsv2i3XdC31DeiW2oObFGZvrGoJrM1NvI
bw8xEfNtouNDG/Y4O6vq++ogJfvWxlzbFHW+sTVj41ELGzZnQI/HPR414P4+9t7Efs8w0/DfQ3iU
c8BNDjMDIAwORfqwse6twiJ0AtY+gsz1KN31gv1ktn6F/PYgk3HfJjs21PUqC1Wyqg+R4+Swpc6E
3p7srf2UkMs2N9s3+KjYG86ieAdXb2C+O8YUyHepjg3xTfP1Q1QuQJkowRgOy/gh5MdRGnDc2MbG
36lNuZvM0RtIb9NPQXmb4sgQvq+/H2JXzqYMGEFbISgce752dkdDd33YGW1DM7GfsaCXgPhUfvaj
u0U9Adut548M2c+wKQcOMJoS2HpfxG3TPQxaWEDg5YcBtscm3wTUwUAb2eTvYGk/vuMBJkA8Jjk2
lGswwg5RrABtSoi52f38dmILi40ZRkcr+PNkjt7AeJt+CsTbFEeHMLTSTw9yjBFssLMhGQ1a9kVK
7wmuwN5phGy8g/F0nt5CeTTCJJxHNEeG9BeIkNYH8qk3m9yJ+VbX9U2Zt4A6UWaOjOt3sLQf5/EA
E2Aek/y/QPnt4+n+PunPW+nV7PmMwFcn1P367vMngrMNR6Q/9kHtSYb9tI1OH3//SCEC9io3thlj
awPV63KAl1D7f6jW0Nn9948GQlCdstkfb0IXbgrdemHAdv1yC0PcZVMpDl6YDeUMm3BaBq3C5e8f
LYimo80eAXNTwwANvmGOqLze3IL+klDPZsMWTejeDp6ZQH+f33iTJ32QZ39/kB9//pDV6U0eZlr9
/hHBbxQvjz2zalIB/TagZQ6DwD6BrA6498XD6tOmDxU8/X/0QPKirOvuKmuJmDWtLwsnJxGP3Zi3
zS0zaH8WdU0Wz0wz1vc6t5o/Y0t1paNEVn599fX2cQNmzJgbqNOBXl2wfwmOb9wYM6+5sbK+iIWs
mytcZugqiIfMd2qeM+l2jc6F07RWfc+bwgidKrV16ZZRFQeOPyhuuVC4nT0Krc1rGEPWHk4S9OdA
DRstekb9NeoN1M1/zTGGWtAdjqGFLzSuEZRDD1dzxHHIJWDb6yvS0SDwWDckfzaQKCFzzfucOk3f
ocgLuW87A2d96PSxSRZpU/XIq5pcP8pOKeSGRkE9BYdzNo5Opdk4vKJxMAvySN7EtThLlZDKA8tf
fFGyPI+TlnazUBnsMqxkky5+/Va7MEAJuwltTKF1PGTun1/61aTgvRG0RpGoq0z74kse2Ag7Voxh
ahRZ3d20XSXuCh8lf/36Zzdz7fVchG1rcAYFJ3DWDOw/x2TD1qufpWYXWIUKsqvMHtAVimV9lanK
DW1ffvn1L8Hy2fklAYWAHPoJgcNkj+ZZkVn9UFYyv7IL01qVbV4lC1/bPXbiQs7Msk4Gl5i9nbsR
oW363ybNZlJsvyhMFOgbasG5lND6d/zzkGQLZZCl4RUvY7pKo5qu4mTDAx1SNWNVnju9CdAv2qRs
sVPGOV/rRKjTVvTWRcdIZbqkjfLYjXiW/kmqAhNP2n2/Loym8ExjSLlLRW5VS0rYUDu//nqb/uJj
/vlGbEA4GM5QhVqebaBMVtOMUt+4RLWfrsJKq8BBRqwzyyF9nwVnrQzj74EtiotuKOWc5VYXuhg1
/EnzYcjdXgbctfKoWYcV4Y8NLSQ/+zWTFt0BmVgEJtHGY4JkBeVgUL2eTqyyQ7OSmlxGVln4wva0
kMOi0x0Rc93UtVt1pXnbpD2tHSkldyuULRSuikViFdiNkzL9VCQ07RyetMHXNkrz015p7RS0LP5k
KrY9v8x8t86jKHRCTaLW8SOVXbWFoa5LYyCzIEAicozBz1IXNzJdUqaTTzgKboI+I52T1Ly80n75
WePUIB5rMHzIsMcgG6x6GByztaOLRFL73jdr60wyG10MQdcItzWllcJpSH14athVnzptbw8eaqnh
DVH3UKhS39WmwaXTpprPfVXWp5aP8edSojZe+NxAoTPI2P8OQeGqccKsNL7VKU+9olD4NM6z4hSV
InkMm4LBuidpfBcKv+NOU1rBWeVXtdvDd1ggC4vrsk27mdVW5RyhDjWzBA6bCdymDezSbbD0Z6ki
lVcX4lr6RmB6COV6CaoGt25mRsyxNU/+6lJTnuNKFHeUaLqoRWTguWLpsLJZXs2U2UXDvIntYG50
nbnCKmmfVFAU1B2wNmsnC3ATzDsd5bA42nbWB01tz6vcl16iSbrM4FEHmh9UOXzotOFOpKLIcLnf
cofntBscSye+S7SRpYuKxbPAqnvztiXIgvOOKzNxIphJek50K9SiI7y7YPEwJP5t3ZY6TZ0+TPqs
epS+xHi4V63R8VQ6ogJRnj/gPo00qeDowbouzCsd6zTuzkRYDotG1No/TaswLJwIJ/mdyQ1yGvWE
1G4NGPhOX5qiA7hS2/Yy3wd9qJO4LWcsbgPTrRKN/GtZmozny7jnrfT6LhH6gilNYEa1fo5U69ag
C+fMkJF/3cDSYYFb2oUNE47EKp1nSVgJJylBefmzrgmZa/iQL6JO75uZBWcX+WnqSlG3/rxNeJLO
lA9WwZxmQTq49kBBYmY4tmo3lZWROI3qA3WjQiNNZ3kQ2k9G3fDQ9Mwc60Vo2bV9RQ0/8M8ywjWn
kZt1qhz6pYIWjpWcFYHk6cxXzVDORaWycN4nLO2XplJp4VLcJ6HLO9oniyosQ8MFWPFXo0gH5MFm
gDj14D/TuE4i01DwybPsa5SmIj0lldDJLJaafRpqTcg8MnKMzmUrFc8cLrHUC79qiuwOlDE5i4IB
x/O6AA5muU6CYWajbhCuHfVFe5naPUxtA5ZK5fkI1WcVoTTxAp8EtcezBuAMuQL7JBsiMqyTGPaj
eDYwkHqkT2V5iszQWgYhj5mL47gkXpiHvjfUfkwdo60KcRP5bWS5JCyjwUmLaDDOTT+x5qjwAwrs
Cl7MUC+H/FSGqA1msbBk62yec5AIRQbTJyCl27WhMTi6C41vFbSK7g0nhHWEr9CQhUPo2I1lkM99
0uL6ihWiz71MlPqS1hmopEDxGAhESuBr+aFE2f2AkkyelX2adHPV0iE8RzrQn60I0xXt/NR3bAST
d15nHSczxYYQmK9RlHoJKWPl2q0/C1FY3idtC5ZFFETNnaKs/V5Ukiwb3gb+zI6piZ3M9mEcmuRR
N8+qBl0NXUGsW6Up+oy0AU+0zFC2q1HPu1mD0yhcVh3G7WnGA4WvQ4OLL5lZbiZnFJVqwRMl1U3X
W9p2zbIFbGSbAWO5AqF7DhpMfCG2CbM7BSlZebDXvstPtRI+vomqOo4/YTsT1mlnRW19qTu9MT5l
393Q2GDdLG9T+Ok8H4bG6XCqh4UZ883Lb1hvQT4BX0WKriyawVvUJYVPJeM8HlwRN7B0iiSIw9us
4rDkqxqsggDugUzFOpPXJbL6KnNIIU2Au626+jI1ZKGc0KzLbt7BERNk1jcl3ggNWEwuvBEIkE6g
jZ2ss/SLD2fLnNlNGNqOLWkM86IP2KrNCLDRVVH/iejOVOcBmLnReV5kcXRng7ZYqMxEV6UIynvY
XMFKR1oyxGe5HYj63Jd50Hh9xcsWDNyeLAoMn9U1edk/xElMb7pamfmyNPsm/tqyNFDL1DfSp34Q
GxkSlon0wA+wySzEvVTzgqXiq2H66Txti6B0uAVirq9a+SnMtToXaRxRj+IKByD24HQkp5FYfKki
owlmCc5gmQyGT8SpleWoXKcgkPszOOAO1ka7kdiziBrwRbtmaGagZNryHFU1Zq4vEt2ApiWNCaZ3
GX2rRCM+Gz2Y6WeD0BV61CrrlZMixJvTsMUwVJciObhWG7DgtABYWteIBZsPedPoy67nyV3UqNKx
uVpaadfQ5dAyACc2kRoWRRLn+WXGOuvC0KaVz2SZpc150LeFdG2qUvkZLBH1aIoMxAiITtU4sVSt
ckTb2CVogb68S4IShX+hfCB24wxggfV/FpoYAgZTfjWT3IiDM8Mv2u8yMI3GTbhi8WkoTHTbKcMf
FlVdqnAWDjVM0hDriNx0cTLQq5QVSeKURWOySwtJq3N7sG7UrJUFoNbaWRg41cBTkB1KJTPUka7y
mgTb1WKwS5j9sdUF3Ov93lSuXyhWfm1pjz5HsoK5BppOfIG5nqqbTGQIBCwuRDS3U8lap6vvsV23
NnLiuOF/UpyVrdfSQFuXlp/YzafSV6IC5Q4zelaEBNAEx6HvLkKi4/yCV4UkN7gzE3bqd7mA9+o6
I7iMK6NovVT5IDPAGqv1ZZL4wH8l4mCupB1Lr+1M87QvLVj3PWM8dCxf8stnq/RH7OLmxch/ccAf
8qKvwkDq0R//53Oewr//3tD8/cxzmOI/f7oMH6pc5U/6l08t1vkmg6PGD22NDL/+g7tN+GLrDzuh
lDeCJZ/Wqk70GzffjqRAAuo/QRHoTUOoaYL7/Hep8W44BWKNarWf6mc4BbKUHCpL4cBCiBKAlQJG
/9/hFChAhwJEG5pbUYivbg49+xFOgd280FgUboG8ps+Vy/8Jp9gnm6NNofU7zHrY8Qtni/980S00
IYT048+vwymYw49suUYUdhMiOKKcQ4wXyiE3HfBeOx1d6wegCnzrOh4K3p8OLE/J90YS7V+DmCFp
emmAWbu0fZ64Ri3veiuwnJhZhZfh2nSQz0IHvL54VgtteYqm5tJs48izO1K5dZOvUD8Ebk3D1VCq
zksJhAUqxc6TNAAp70c3UQlrK/D1rEiV5TQ2rG+7H8xlKJjy4hr5YALHjdMaaTOTlU48yfR5nRXC
QTz82iB2G5JswZK0cvPOy5phEZa6dRozNZ04ym+HoP2Ss/xUWYo6YZKD6aKNwBUgcZywGlYiqm4Z
K004YQYzRyT4Bps6uaytIZ+DUs887Cc52NPlE/GDVR3V2k0NPtP9uu0w9cCnmDUGCbwkzS47bH0t
sqBwlN0WS0uBF1WRtnDjAkmH5AbEVGxRuajpzskQRjNcDeva9ud13pwj0S4QBwOlyBeKqFkFZj+O
UAOWcxG7VUPWWoCT1/qDI0wHD+Qi64flQMEZqAO/ciTXbpOGn+06ybwkKZYpxGO6PPqcCMPTOrst
KvNcGrULUgR0EU1vG4C0Ti2IH3RhlS20gey5zYozRNPvmZKJC1GgC7MRF2AZZq6V+Bk7swmublFn
Fv63qEoCPFMkD7JbY9B9sUhR1juBGZt/9UMkcoc18QOmZN7JqgVxXT8IJedwaFzgtjbcDut2XVpI
uZHqhJM23VL38srKfHtmtF0/L7V8ag1WOZHd3zNTfNZDd4sa9A3iB2dmPtyHTSRcRhWZ8cB6DHF3
1ppB/y2RZQzubQEeO8lcuwFvkZrlMqLVLajNJa9s4wL82M99CK9VJHXpBIF97XcqdG05PFmUerXU
sUNjJmaa9eZy4E8oyi0wAvWXRoMFkBYW9hKwSONAkAU1QnAwwVUvEPUqiJW5Ri4fgrgc3KTuh7nd
RoUb9cECG+o+bPNlDsvGzeysc8AidwquhpkOssJBoO261vJduzJuet/4q9LmGSsI8iIc/Ul9GYA9
j7mj/N6B1eyB/lomPOYu0/lZRlXrSPA26tKmjmTxk5L6ukitVaP8C5YMkRP30RVEes4LIhuH5eI8
A9fIwYQ0bgSmSSVD6US6aRdlB2pPS4IcLKCAO7bvB57P0oSemiq4JzEp7gaDSceQNgQFMP2TG/Ku
w4ZjivavUlrhaSHF6dCV535gF+d+rv5inb+AYNqdwdipJPa1IdStNNm6sIarNK2WcQ5zc2D94BUo
qz2ILHxqmnwRgzEW1OGiiqSYxZ3IHFg97Jtq1KnEUf3JtxsJwYBknnbtOdMqnh1EAf5vU22bBmy/
Um1/JKCoH3d02wvZK91mbXp72eCt2nBuJ4TdXuk2UFHQUpkQbBKE4dZP3QYZRai8h13sFug4yDLA
rZ+pAqjkhXOooOgDOjqKZ434Dt0GluyOboNcBIPSXw7eNHThH0VN7S4oRW3L+joCaXBmJ8K6rLLu
3M6S0qV19YWlqVdGOl5mOU+GtcxVadzWfQ/hiwFkAeqSWyGLzNFxf6sD6yxXaT4vExU6aOgh5B0j
YxEmjeVYhZwHcSNPIa5iukHhWw5YvoF0RVNm85SDkLnrg+JeyD53DGjj4XBwbiO3wMo6azpjOKNF
1knf7e0+PKuT2Ouxbyy1UT0FIhsg2m76ix7lEPdDsThN6qD5UkDm/RyHLL60SQZhrfCuqIksZnba
m/MC2aHXVIbp8UZkXk4GAjohxA5mAixhJM5jXulZGSCXaqzntCuubApCoSG5mDfJ0DmGr0EZyaxd
Vq26QkoJV2flfdUGFz1qZ9LsPazwpWkF5+2gpaOjonZCsPJBXNtuW6t6loHN4wS+oWfwY8GT3+bs
G2iGxp+XtJQOhPsgEiMVWoqq/iRjcmdHZlafFkwa+jZEWbmEgJ2blZItS9qr7I5pU4Cmq33eOIT7
1oKgtokc6tOn2K/b081pHos6i2NvSLObPlJXYKicZYm8Kk18bmtjnqv2zEiZlw9gRZeZY0aDS8Pi
sc3wp1CL+/8vPJ7tYgsyBG/bxVv11bvm8Yb4pwiBrLKJYQ8tAeuTbzz+VyIEtm1wWLYgIWB71uts
I6EnCEG1PyQcBaRfTAsW/k8RQk4shiFHDUWg4NzDsO8xj3eTZXBWGuwdsDi0DBfQkXLbOCYSGa3u
U+tKpt8GddV1L/MDHKX95reFxpkVeAnIqoARBAUUAtqsjURU7StL+7SrryDYOcO4eOoL6yrxo0+0
0k/gxntVVIVeapHSQ0Z2irlYgrc/q3lROMxg+SJvySLj1dJQ5ueolnNLFY9GArFyLC5qWnWu0jFE
OmRyDZYTjS9Io0tyDa5sDq5r2IC5holLZZn2c5L3g3Jak552UvlPLTUvCQEf1+t1yD3LCpPHEkOk
J4Z42sxS2HYqMzD+ihIj9URsPdSyS+ca8cC1Ysj5gUGbOwGyr3nBjVliV3+JKiAzSNOAyWNZ7U3U
tcghONdzVJHIgWDReVOF32KML6CHuydE2l+0QVMukyxfZpkevAoyDz5NFmA8X9oyIM4wZN8Ms6UO
srqnNDaudQeGpUqHYV5bthcU+o5HqWOYxSkpxbfYNCCqXp/pwsxBA/S3XWyfRUOXOcFQeUjHZyXn
Kx81raN5tAzAcq7jcKUhluxAxtaBnM4yCaJrA1JCNGs96eN7iJeeiZov05JeWFkJBiBuLhMyeCwl
s6ool6wvuZNb4ksUDno5xMlN5eexowZ5rkPzviixdnsjOrMM67NOULyx7WOHDNYdODa5K1UnZ7Ud
nvZJGTo0ohSSNmxhlqFychZ/qy0xa83KBSw2hpBu5pCqO+uGyhVW89XKidtKesUUu1d6uI5D65NM
/cyBRNiCW80lBOZO8749Dbroq2z6wElFu0ya9kLi5I6hPAXBnnzFmfqCfP6V+fU8r8ANGCgkNapv
zNKFU2mxMIi6z+HlIWvQLYx+eIwTPuu5dCufeiTuLoo2sh2I7haO1WcwqK0gRct9J2D8G6yCeRRG
94HvR06ndDQ36hqmTfnU59HS1tHMIsW3ujLvDcO8Uxx0TOxHXtMJ16TJ9yH2b+MUDY7sg4sYEuwL
FBSxYxn8s4TYd1nU0g3CIHLMNP0uEARRjEI2M3vg9NLuVHYWhmzwjAI1HmV3kbD+qiGrOzcgnuWA
7wWrJ2rvTBSdG3VhOxAuLD1adpVjIPqps8GXrPs6OW/A8XEg1almIikaB1uhP2sVuwo0ZrOQsi8m
swNPlL79HWL64MsiynOnKVgN67tqfOWmvQF2fRQ24VVXheyiLJjpCfgUDokLcNkM0GtRkkvPkryC
VJxhzvRgKQeS3vGn3GZYQ9QajHtGIVwKqWFdVudad9cFJKlPIQ9uQeYkixyES7Wkth3NgrC+YCho
HBUX2QINdOFDsmA2dBg5tZUUkEIoc+ykYXLNEzOJ3cRQt0MDb+z7xQMd+i+VT1Y8Bj1N0GUkUeoK
ZBhenxgXfowhOpAgCsEC2oETm6d3Oa0NWKrcT77WcfapbarWxZhdWxDgBcniVpHlEY5qD2K557zk
IBARMM3b26wmgVvwApzo/iwo/SUE5mdRAxbUoC+SyFhIKi/NxPwaV41LavOsFX6yyLr4mxX51FGh
BpfTZxD3NzvHt0L+vWgN7A4Qk4CwGWQDP8cobedNSBaE56ELUTrblfYQz4YwrC4HO74iuFjG4LOg
kik3Ucrp0jpzhpZ6IPJOMfLrWUBYdZr0zZ/MKD6nOAXv2qkTT1W1nPWtTgXInBp8VJZ/yyxtgPw1
nkolzf/L3pct141jW/5K/wArCM58bHA489HRLOuFIdsywAEER5Dg19/FzMosWXZJUXH7pSPqIR3p
sGVOIPbea2Ksx66iOJwTd43nXEm76nSkS19tVcHVpnaE3mDr549ZiyNYY3VXCzuPIc0M96Puin1V
sHMduh4QUzvYjZA+UEf6d24LUp46hQNI3+rbWDtZlgJIv/MyfRfU7vIEpjfHkCr71B0Zof40p4MO
jE1jqnojdSujCj9IO+WOT11eBemMDhVjbQ7ODtDBsHVUjUc8NakdCOCQQn7xVLOrpzydfZ2Mvbwy
tb8vW31v8iJROQgI2fD7sbKAVLThAUio2kmj6GKZVTpqRpDSjWl+AZVvx/bstE+j15C4kWIBnoyF
7udjg+bUfrLmcLjNLHdOg9EIo2I09Z+z378tz5hE3mBjwTqkQG6BViNESgQ+bf5ONmAJgZQIVtQg
P4sYfOsOnM/11PWfySt+f5z1Mwa+jc/C/dIEQGMAsIbXZ1FVp96z7rErXQIhnrFddiDKQzwAXW3V
3KRVUG57ix+5smhg1QfsVEc362kRltc8G28AZCU2B6MSDuCXs1c5egqMqEudJTh7JsPE93df9xv8
8LdnjtBBZNc4UGaY79BDV4wSXXMJCYFglOk7swDnKo8fH2T9VMPPzwFJSMi+s/ChNNwjLPSf27B+
LBstSqiswLL2mJ+cnS2xMZhZi7qhlJtkhnqC/kde1yHWYGjupmByqNQNNirbvF4KkXJjGa9Hboe3
NaoSALezYZIKb8mEUm6BhnElO+cAcubMxT238N54YqqoDt3lxiXVSzlUEalYvlmmlmY98RJe5WVS
DvY3o7MwQUFggF3JoxoxyJFs7Q3Ig5KiFKG14d6uXazX3PFfZkx/o2vmdPark14wyfjQL21NMhUn
kzeCLvPI0TcNeczDwo9Jzh6ykYi7FqRCHBJ2dEXjQmfQDFsPg5iSKHGksamGCC5pTOvKNf06npd5
ZcqrY2a+jE46uv4O++KXwKgE3nKy1YXzpVqZ67qpF9oAZbMxLS4OWg8MomXss1HGsyG23SBc0Ejz
fjTVS5lb/Juu3I3ptSL2K36y5FJRu2/T3O5DOlrzjfC86hyOBGjWMh9av/+Tkvi3byX57XrACxms
yDniadf8lreYdWaDwsafDWefWC922It4aVR19oy2p9hPn1nvlhQIZkS8OQ7yqoNCsDrhriwgP0t/
a7H+NIBgnhbr5MrgyXZqnvbCbdNxNJ2dcK2RsrwUQKNVkJjSEVvAYE08gQOOAc2hH8FGZApZR7nb
3jKRzxHhvUQ1GHs6NC2tmzaFEASkifcSQmYZKSKh1xHWvWdp9M6axfZAYg+IA6BYo6Td5D0Vgbeb
Muu7588lbSZsA0ArvXq+y8Li6ANVbKV967kaK6Sho7ZuXaVOZcFv29y9EX648fTwFJQlRE21NBOv
HdELtirpx0mtFB0g6MKIzcxC5fCMFwNrImpC+wuxjSfCVRu3UFeChDNTtRgAAGaZEKfbmGaxC2uV
WBIKFK5ipwTGEQTTwe8K3BLVo8wDdKyGO0Dd5zCYd73UL/ZkfmtthL34XuJqnOdYx6UqrySfj37t
pZN0Yu4DA8lrP7LC/LpsjHIHTVACajvxqgwYKxoa6THMJXgZlRFeA135kftGRn1tRs5YpMMwlpHX
g5FlQ4SYJghI7E1ut3hKhInEYUs0rR1qOfKjQbKkJNOjlANlRn5xuUMZl6lVGgeBKs4ntg1I9UU1
fdpCAgFK1oHuB1WzyqZ0QHmvO9HEo9EWcVUam2IKDktRUj8E3zkRNkW9iU13sUhakIC6U3DJArJl
9XBgU3usAxdd71BB49GAG9CVv3fYdGisAliUhOzJbnIClVSx5VBqGD2mhMqDmg9qlNGvo2y6eG7i
lxP6mLOYU0+n0tkCB3lsTIMGwjx5btclc+YcCw7SVWVZdhgt5Ue9S0jkF1m9mRSwVfQNW6mHHpSh
v+0UuhBfDlCMZSpRWUc+KW2/27nfvKn2Ov6+UUhaPNRF2JSQaaDuq/4k6hnKWEGz6arsTgQTy8el
4mfEDxUbleLt8d6N0xbnNaYL7AxSvhLo9Oablb5gT5Oz/fhAqwz6l5qEb/CC1QNojU8QrZXxzZVN
/aDawlTzeSGagded+yjPrDu3ZxA7SANrblaHpslNKolJTsGKyXuFNDBMLGYy4d+NemL8gNL6eq7t
AMDb+GDk8kqa/m2F9g1TTzT01u3MwJrVA0vFkD/XhfNo8Kq5YWOpEpdD/CPc8eAWJkVjkWhiThFa
vE092P4jFMC3zVLFQFL2oz3scts6LEzvXKjaICQ5dCjbINwPpQVyZzRWLD8Cg/Eomi7Jq2w3NYQW
1RzQwRUvi6ndCKrCL+0cdo/WytdZvc0+uas/4y1/Pr63N9X7+aaCVqzzLgvmczA/8+WrDj7TWH7y
0N4VDtOo0COzUp/z4LYpQtra958si48P8F4PLjxRmqXF9Nm1LrlDKG6TyXX08UHWu/AvNe5fdwkf
yUFLiswq793Sm/0e6i8HVwE+0Bq+DZNAT3Kfz/4nT2ONR3lzIBdaexcwPRyaAL/Qmv4hq32zxnWR
1xNbGrBclHxDUYvvqjSLjQTqy+iR1vRx50Xq+PUmj/jDnLxUif6KN7rf2ruPL3i1Er05kV9e6z9O
9M2JhCoPm5BhGxlSFZuRmcy340Zc8zRMwqjqUrLBfU5J1FGT8iSMG5U45/rbx2fh/u4s3q7Od3Lv
KuvB+HW470/zzkp8OqThxadXYK15vHl0o6MXi0145um8rW/d7V0Ws828xb5Hlw28AH0M6CwOY5CP
W+h2rzjlM2Xxg6Tj2Yz0xt2FO3kA3H4v0tuPT93+7MV610EbVp9XMCFgXVJJm7R/bdLmjsRtVMRZ
zOM8AUuxl5vLt2My7twIA3uxL2i4L84sQvGBbpN+z6KHj8/qD6/Brwv57z3Ue1cdcrgHOt/DWfFd
SHm0bMUmu6tB20cQlHsUmrJI02oTnNut9QwgLfn4+Ot78uvh//UevdttsNUYum/0fDYXmfjTdFiM
8qxGU35SlNZd5aPjvNt1gjywlVoqfUZPDUfIN3PeTt5XbSetOQCKSj++qt8/6r+v6v0waQhs/m5b
jGful5j8bhp2/b87wLuZz56DyvMEBqjSPVgFcMDQjz8+wicP5r0Q3hBNUPsaL5pszr0o08Z6Wsbg
k6fy2X16t4v2pOoL5RfDeV6fylJF4VxE/7vreLfARrn0Y90LfZ7UHOXeGQLqaBGXjw/yyery3+1K
XsYMDXAO1WD2Iiesk7IarlYltq+hrJiss2L5J7fut88HX/vBB7xgGAxX+uVt7xOA+c2afBjPjvjR
FWlpc4B8m48v67eP580x3r00FQt7A0KC+ewWDvD7ayE+QRU+O8C7LXEpxWwXslVnE5s2wOjSrj65
Te9sJ78W6rWgvClbkDgHEA9hHWM2oG3E9mpbnjAiRPsu4gm7Gqk4fHzXVjnZh3vNetVvDkmA/5HB
4qhRTwCGa+yqJ4Zj0+kFRoydopclggK3pm4iIkKDa4PeDMla1S9f2ou9x9QOBUiiB7qtI7757PR+
W8ihFfi7dXm/cvJuMkmGl45crYXcoD28K7uaRLTcOPFjTfcm1Ycf5lcMZ929Pkx0+mT3WlV1H96h
d89dGb3H21Cjl4hVvMR6ASdOw0MV34Rn72hvxviLlWa0BmKbdptmE0TGJzv0Z6fgv6t7xjwaTj01
w9k4SApN3EKL725KYv8wvs7bJhFHf2NsjB9Q2kTzprxicfH6yTpZD/FBTfLfrZNS2QLyNCzNLp3T
lhKar13drozu1G7e7fK1aTkPgj6aqYxF2mz8y0jhiEmgcaD8ufpkp/xDivHL+fzrdXff3ZLACMEN
wfp8bhNn40HOF8/pki5HSPXpN7bL0jIKdpDUUXmcI/8+CdAd1MmwKdPbPF6bhH82B/+vha//v+l+
IGlFFfob4v1F0hq/Vv/nDE8v1tMvWlj84F+0PT7R6EIyakLo/qf45w1t76x5qpDqA7FF4p6DEfyN
Sdg0oXj9I057Jef/pu3xBTnYFJDhZ3me7foOXpn/QPnzc31CpCcSJzC1QJsE0Y/jrIGQbzdBYDVF
Xy21danlvDXL/OizMrLVZ/QAUiZ/fovg6IAZ0zFDMASAp38B7uEMK92Al9PFdaHcG2BEcBJ3Gfci
B8koLVbCFeMbIJblFXacY1s2974FnLjphzma4K9Kyo6UYL3dMIbwBiZJUO3UcBu4NKbuaeqbJhIB
h+TFbjIwwdVtgwNGVlNdpJlDCufXULS3FvAu+Aki2xcOFUtwaMUchQVI4RrS/Rgz79a2yzrNPJXC
UT3E4xKSuC9nSA8BKAT+KXTGkOIyn7hTyUjN7i2cijeGmM+G4Z5BUytY+/KCwle8g9PgPGWCJSIk
95D3VdRkSsXWKh4c1XANw0IK2/NjGHSvFvOfmdBfukWAswWQFcMAeHG77OBBjJ9i+Nx6YdZtekDl
kd1198D7tnngsKji/IDW42s98TJVwmzggdOgquTcxMbIJK0cWadkWJ6JECpanOLKCbo0ADiNntqO
25Ua98l917OTBFUHGEbf+O24QR74Fg4Igw4KLrLJsXMKab4Tccu9NXRTRWIA9+eHz+EgEtOe47Hl
MI+PTkmxtGOUNqCmfbEp/fFHoEEfmp57MtQIaWQt6riFwJj4+mxNsLJozIYTJ3lakuoC50iR2va0
WYRzYixjdCDOJlS4t3wqoaX0XBU3UCnUsF6EGpRuvejYXvqH3CNLxOAioPZQ3fbTuIOSQ8WdbX5D
4wfiZdIPVZ678PgtV9Zce7TnhYLhoftOKuu7NVUQDs9kK6twh6hkAhXxtBGley1gCZ1hVz/69lJH
XlV/W4rmifuAzoUn76DfLWKn9cvtNNob3wdba2dpUDvwM2CJcTo7E4eZgrcvdSFZly6BMejI9UCO
E3MuIS/RVgcHDTwxdWz6U0qCCeK5tpv3VeX21NIkMjOy6xz7+2SGu9wlwJ5lN8N13qiH0rXzEldH
TNAz+SrLnUkel4W1sxtnS1R5HkyW6KB9gQr9hpTGK77yXtIWLK3EarzTlroDfjbAUzTFcirJzhCu
SOpJHYMOom4DLK6bl3WkepWvqrrpi1f4fTKz5sRyM4v6ZobyfTUQ9cemKGM19NtpGlbWFEKFsIhU
YcJnJU+lh1fWrssLtLCHyjB2S4UOhjPOwaZrAZYq/+5NcL0WU2HDMkJu4OjbzHJ4LaFPj9AQ0Npr
nqYuEXf+jjsdrF3GFhDty1yYz4ury8ivYOfR1XPl3Kqp32owyY1ktDKgj667yEpNE4SRM1AOEH+y
na2y7LQjHDprsCOgtYshNUmJ+6kc0M8E9jo5xZnRddSZms1I6istpy+dLODQ0s4DcgmCU2PAQXoH
33PEAqfLttIS0P68KTCXP4v8Tx6Ed70IdtGVx4eA24XUyyRwNPy0Xfd9bzuZ9vRl0pFPnU22n2/l
aVdgOH6pH5uk3NlRRrMDNNRjXGw+Q5fWKexN6/Hn4UN8bxg8puV671uPLhtdZXjjclH+S5PtQgzl
4fxsQPny8XX+7jgImTdBSq0JGua73jccULNyGLkuJD8iRIFW1WvIditj9PFxfq5+2INwO3E/UQMB
LENa925yaluncUfCTRAGh867amyJ9fv48TFWyd4vN+3txbw7yMhNs7fK9aal/QOPykRtze9BHCCM
4ySwxuhNl3RUpNb2/hzEFT2rU54+9EmWXBf7iW67uDsOMf5iLFP8lzx8fH7WejPfP9RV84u0SHwR
DzkmP6+pCmZ0mBFMcnEpO2fXZmKeyCPbw79tRCMaxv0Xspmjc5tOW7Bz4gD+5brB+U70n63tfxtJ
E2vi3zeS/7dq8vp3XSR+6q8uEuJPgH+2B90AvkEKnfibLtLEZylBjLooR2ugDPaEv/TjMEDBuotP
ltoQKSEHBk3ZX+LP4B/2KhJY1Rr/7D3/gy4SUPpPiwj4d2BBbIATxLvkIFhkbf/eDNOs86eisIPq
yiDtF5bDVbSM1Vei3V1FRE0Lb4mg7Ul8MHum8tPFZsdQt+cpgBgim0S7E3kLBRAzos4frZS5ZmqC
wp1yZSWBL8dIMX00hyz2DAnrNcwleWA1UUWqI3fbKlIG7B1l/yI8cPkjcb6Duu2jxhAsYu58mAP1
HQapNgpKiLGhxE88raCv0vWSmKNRwYrizvCIwLHkj+EYOdr0okHWOq2lvlgaBdVi1WGcXYgH2PBk
I2oihmv0uzS9PRrfJm5nmFKY6ksqmE1djmSO2g8v6B4fVbYwKL1Rnzk38Nb4A37rFXm0sAaSMcHA
0mY7mw2p9mVG21VoZU3zw8LZafDrQ5M1B45rgkojx0ZhWTdTjgLLQNuWtXXKiHWX6Qp4P4LPKLRA
yJnpFaIsSpioHMfeChvdYBY0j4HbGZFnajayyFVtzm4Hq2ieYZZ+0IszHaA0xB44AGggkHMUbfc8
Mzhi63IjmsmjzuhKFEDo8kc7syjPghNn1oPd9jYd8+kKahMvKbHTxZa7sGQJoVVjXYjxXI43tsG/
u1UmN+DTIgK79QF8/zC/wJOeOo330mtbbqBb3MBHyCAGnYR8CAmvbwHYNeVrzpbv08xvFtuERH5s
QLCXHQ+Cl44U5wyz1c4canM7D5a8srosvHJE1u91mAHnAx09+d526DR0jdwEBeOE+mwXC3yguRTT
BpEWjxM0qn4u+Mme5StsrtbWlGxVE3kwOv1Zdv67z63j4wf7nHj5LrvfTMv4qb/2OXx7FZuZY7kB
BtvAJegM/vbJILIY+ncPW807m0zwD3xQ20S+4hqSCZIZm9O/tjmLoE9HGhDU8Z6PL3L/B9sc9tn3
2xzyhEIM38Bz0S3gU2U/b3OycZfS1Vl/ZVb2XSn7W6t3D4CHrssZ2qVJOXzPTMSyEGdbaF3Eoiyz
NFPeFA3zmFGzbVooMibINrVxYzrLEvHGJxTKCwwiC7kezBZa3xD/Vu1LnlRFQ3Yh6yza8Oq289FK
L7UMKJHzyWjBvogadrkJOtPImN0s9iHFTioFc1k3TO0ZU9adDwvNyVdLfSysP0QiFjx8GV4xq/I3
Tg+LS6DkFHmcM7p09R2vA/hfwCtQs+t3LeRTWTCwpC+R5uA74hWZPw/ISzFWK9tW2satsZQgb9v+
tCwwhy8u+4o8tIK20IxHnZwgBdkV5EiY/V3xl86OhpBtpcxYPKkR+UfLWOCOlFVcV3MZW0vfJI0u
XqYF2/w8dN/HYdqToZng5MQFQfy767vgog0IXHWdGMtxHMh+doJnt/B20gQCHmrMnpApHjvWXXIx
z9RRa7M1k6vSg3iUmWNCAtD/YP4hQWKs3/mdY8IpKG4sNjnXocG/zVZ93dcBQhAqG+5OwklqrQLf
3lckhXZ1TJpMAg4uIezJSojzOzM4Wjnf6TF3qNvxuAjqm7nsseUsI0laG7FNQQ/DlBciT8dDiELC
2kHdssFEy07CR2bIgsq82bRmse9L/84JlxdisHojdEkHbHuF4mEsLQ7FE9RoMAY028lUVuQN7d4m
uJalazehLYqozEhtXhpnqG8xk+HAXY9yIK8Wp/uWQ8a3s5RxwQJ/CWUuaVdABc9L8tS16tQhByY2
AgfBZpP9Ok/jq/K1ToHCNBCMBdkW0SxfBV5RKnEqUQlXVZpP460LpdhBBOZeFcWXZgkPS4tJ3JUc
tgvj2GoNp68ZmOnAMkJlmU206/vzUCx4fdQdZ9nXlvvBtrYRhlMY4jZbQJXM1vjY2v6ubAcojly5
h2upQhn0RBr09c5j7n3HTb5XAwb5slhu8W9Ox1a5CnOslHCKegB21hwU1SHQhoTrw5ttHZle5sUk
cx57WXSRWiAc7/u63vfWCNWN4fsQyOctrfpqiJa5l0/MzNi25ry7FJ4b0gkmk7nWBHpa8RBY8Iuy
AWS2KgjtLZnjATV1klXFiBiMMsfbPli7PpecysLjsD2MO3MJzF0b8J1PIL/2cC609Wx4Vde3NEB8
Ql8MC5VtvXUGGHINLy7kMiCmCGKXpjII3jRniBCTAgAAIvc4ZH08OARBN/gfw3EvBQup7NU9mYuD
2417aYP3crpb5auRLr3YcCOD9E/AJF2X5Kzm8T6Xbk0rzS/CGa9LmMGDcj7BIfLUZ7C8lojpo0IW
D4iy2juzudV9fzcEnknbEUy0KaUNT/h8LPs28c1OpkIHwC26+ZR19nVZ6yqBiyXxrWZvjdCD636E
gTh7zhm5Ql7YGfFml7bw0aOp/msGpw8dy+Wp4ugunDYIEmS5PPfCR8aDzuChs5o7yZ3DbDQyURVW
DfLsdPlgj4W7zR2vtjfw8FsJl0hicnMZ/1G5/lvCV13yvy/hyFP6Ld6NH/q7gqNMw5WKGERzzaT3
3lZwC3+EwgnlmY9chlWM+hfebf4DxRuf7A7/LNOrfvyvEr6Gqbo+JhsXEhsCIPM/KuHI0Hw77mJS
WYMIPURsInTbcRDS93MJV83cI9iK21f97Jh4udVu0g4sY4Vto9lrU2lD0toN+tGHuSjumfOts4Pj
gLUVu2t2TQHh4Gbo4EiapElrs0bqg9nRYGnGeO4V/CgIYwDsJ6HMGL/qsP7CcyBvoropnWJT62EP
bOWmbVDji1aPNGysHjZT61gDZoTc0r/vyxBeglDAATVl94ssHl1EZmG/XebIm8WVy+wrMnlJ2Mq9
X7W70l3s3QJJYgQ3QxApPm8Qr5lYQfMDbtubcWLuHgL3DTJNvga5pmG/PMzw59LSEhZcZQC6PAd4
7AqcmzNmLb/hDxMZn6HLA9hb8q01ypo2Paw0gtsd4OABct7GPpei3VelY9Op6360ihM6GxI7ZhVc
5aJDZ8Laq8JVzX4WA6JgclR9X8DQVfIOsRImy869J1csblw82jrLj8ACUqkc/9uS4+Y2meDXFoJm
KO+7Vw5H66mQ1c4NDWwCVqM3vO6Dqz6fRQLEFU9tBJLYsYFFYKwnhE/VEMMWxNvkClOhB2fG1pl9
dm0ym2yWpmC0ZXmFJsoGIjnBgpcLmyWmrgqQAHOVGHluQZq+BkYuUAp7M+KJsM1tRZaRmMwaw4rT
56mDiIfUmewq6cRgbQYJJWptF0e4cg/LUFyVNdkNmi1xLoIf2VJ4tAD7kBh9bsPOoosEdjG9KUdW
JWbB4e9xiIYNuA03Q+FhVIRcfhNavcJk2SEBEvFaNxhogs3YuDxBDHGxNc0si5WqbNrbtnFdgfAB
uYErbWfPo7lnemnAjAHBClNAtWRNYiC0Cyk8Zb53UTI3zFoh4P4CUXedcCPQVA7NV7l6d3LuISiu
DZ19E2IrZmQNOl3WW5Rb9fPUu8V9DfoeOHpYA2pFqqs1r5xDVpMrMD5I4WoWxIfgvlO7M8ZtMGHs
4pODJtgf8++lyH1Yi/0sUUxA2w9H2+hWSZbVqLLIKoLJrgaY79iCoikZqQExMaw/ooo8VXjXC5mv
ixlmjkmUSY8QEPAeVnVGxuGwhXvnx1AvXweieDo0ZKRVWHWnHJFGkT17cdW13s7TExIfDF9tgqx2
bixjfMhDOUD8PYyIYeDWTMD4js23CWflQ/YEXXxRIbWEtxuoxO5geyVI7WBeZKpwXyMYJZkmTWio
RsDkvQZvhC4f+XJJXtfG3nAQ12Lb9wrlPYLt/U60xd4v6svk95Fh+Kfefc586zBKTz2hLX6dvOE4
OwZAb0y6cTCN03Hs/XobhkOBUJYV9C/No4Wj8YYflHJ+tIh/i8gCFT8EBFSF/sMCHoLmxQJ9ai++
9z4iPZH4t5OFvkZKMryvOeImubLjWgSIkcgJIs4Ud+NZy5mqHN1Qh79e9wBc/N52U63xCEkrrkaD
3VZz9mzK8UvjYHsIzEbFftkd8om8zKXnYXCAHU31kqVkJLDe24g8dbpEFdCR+AsR6LHUCRkwjyPg
5tg3nEs4+wGVwq93gevibw5mgU6gUlEzyMNYmFskRYGHcLK0MGV7lYcDnIBIA4QKP4yHuXvtM2jw
XJXHGbe8L3C7CzeR9XyqoQCVjg9/n/uEgCh3lwvIdrvlK2ItEd4IAhQXXaXcQuAkPJJx5flnXmCX
CaFFtmDAK0MDNkRJtkbrbTW8jYUFos/IV9OdOML9hU4+r74OQbj1a/sMP8vGcNoNgwEMzzSaK4Lf
uy88yPOoz8cffe5fkAI7wJiid8MaLzOu0UFOeY2gPQO1YLXJ6AMfqmsBfy0BT1MhqYZ79dZfo2tG
ZNhU8Osh5ayjddb7VCDnBlL6Y15FgdnPCHK2Iky5r9mIuBnUMUNv+sDqA8xFZRUxr74xc2jh/9sb
mX9EXAF1/fe9ERLDX9Rr99L/BuHAD/7dHwHhWD/Tg+AO28Qv6E/+RjjMf+DTqgAxQuIBzFhB1H8h
ua6JHzI9ALz2z0iu/w8AwsA3gAuvSeMQLfwnEMc7WdSK5CIuK0RJQPSIBZPA2j+9QXJrFqCQqABm
RLNiW8RNbTgDkNjZ02H0lUZchdUf59GSG9tc0GTP4wVae5TIWnztHEvGvdFvMUS4SWjDmskmz6aF
w9sIxRnqHWOyYj4E8FK0q5N4msWlZeEjd+HCVp0NFY+5HBANeexcZxvIECXX4JtWN49ZwGQEs+lp
6TQwQFmqLZw0eyYK8OWOu1+CXFDm+CfPcu6Zi4iNIQ+uw8kv47rLAa10L/j4PFKOXPaghAsnCpKa
kU3qq6hUy8mr/cc5Q4Qlse2nsJKPHlwJYUmOk1/dGa44DQiqipBWeF93GTYbgtTZDM6exbmp6yIl
zPhiwdzEWpYCxYFloWuOjS+frMA721wUlLvzBnKBmmJRvAwVZqN6rsBl+0MCUzWnyFCpYrubYYvL
Wp0EQT0mSikND7u46pCgBZeivZXcgh9uGs9ThTmOLRPZuOWQFl4LtAEuX7ckdWRYy8XOvG/W0NyV
o04RuSeozerL7Hip5mKXI8GSZn5/8Ub/nrcZbBmOfvJyIM/55DYxunhYmOtcpnaue+SX+Wh5l+tu
rv2U8Go/k+qVr0KFYIBPi3fQk1dWFiEn6apQvoVYBn87B+y2PTt85wHiQdrxwdNFEeHLCmnuKwDJ
LdIJh6VIBntQm24MnriHbmdsa4tWMt+ANqhpKeS30vdkXAwAb62WwNWJ7MGVyh70NtdINBGi+Np1
9ivckK/oyNmWtc55zW2cFbxJ2lQiKXTlPNhuiYhaHaDsZHkk63YvXG9XuQRhqDztAgZ8ADm5iZ5n
eAWYpzfBHzBz7Y5DMinjOm+m7+FSTl0ES2IRmQBblhaech/wi2O0VgQ2cRt665BvwZwP212AJIhg
a60YDoj6FyS43uWmjCGmSEwYwwDgo3oA+pG2siO+okFo/dokD9mcQDOBcB2kFKKUAz8aKswLtlvd
hApJ9FZmU+SM7+rQO2aqJ1SsOBTiFvBe+NWYBMANU3vFq/6HvfPYjuRYtuyv9A84V2gxzYyUUAkt
JrEAFBBaS4+vf9tRt3ir+Ej2YveUIw6KQALIDHezY8f2cXjSt0JpWBooyDOJrBUib5lK5+oRvDyl
fM1weQ811LdV3E+M/RZkCwuhJdKWq6riSUmVigYx5xQiq8UF4/NaKW0OklteOi89ElxXXSeWBeEA
dc7zivAwO9XlHObg5VDwfKP6ZnU5EhLaXmEVNftZXRaIWWRBrSTAyVbCZ8PaZryIHQpNurwYSjNs
z9OULblpk1SNhILHx2AswlepxEZDNhehkh9LdMgZn0Opx4JaNX4QUfaRDTwyRlnx2VZLoD4zJiVr
+th14Fnmd/C9P32lfUYznztTyaFVGW0ssObYYtBaxqgpz4Ux2xc6QqpIiuZyHuHlQrRON66/hGyO
orwOYVitoxY1Np7Gi7HNPFRClNrcT27jlk+zbUX4NvI0ZheSdxyKLhZauVxXYe2AR4Ic1hUjZlMk
YbNpByp8Hqx4acKVUMoxjJ5wO8o+Daqmt/Yx75fSmTOg0wximmuIJ2c5UrQWahA/UDp0YzyGSvsw
l2VOVl3VtulVPevtU+YDPts4Xemk625Iz4ZhBOrT43A0EPFCLDlp0j17fhRb3y3E/+olGp6Cv6kJ
6DO+Imi6/vVPygK+9veygAg3lcLK3c8WPSCun8oC4zegPlj9/quN/Lcs0JXK4ttMX4kbUQaGH7KJ
+xs6h41Fy/k+Ffln8EslA/3kElCyCQwhJploJ8g0X2XLz2WBX7gLm632eJWPLDaH67aptGM+69ax
RKFI16lT3Ms04nSdxblX8oyldgGLMnWCuBTwLfoUg1F/lnnz7ajN5zJkSFDHDovQkwfZN1mOftI/
TKwAuIV5sBOHRzKsVo2aSc4zaL/BWc8MipOFM6WgMQXH6XOH+fOOsuET+gDgii9OVZIBR2CFb9Nm
ogEjyUp3mnpQGanrwSo+Swf9sMstuaF1KAKtre8sBwWYzT6D+xNzYL2wZTT1KytqxnVbho85JkDg
JEw0ui6wk+nNGbJVGrLYjffzHdUyWY9O8uQ0mFWIFDmYswdbkM4WBPmTE1k7z60XNlPNbcxSNEvg
rEk7ox2MlbfvZthq0qIFQaZ4k1X4VkAi0SqsdNzsz4nmJ+vCynZZNh/op3HyzROekJFexIvqb5Fm
0anp5VNd2VwRqo0Lh/7DCY3lssvka1LbrLfaCTvVtlFgtHI2ovT0GwM5J7Ag6LOYjbpbAZbcTVN2
ptvNyBFALUZL1PZb5WhaLDfh8HKrbS5NbZ0DeNh4MSdR5C9Mg0HeXEjNm4MMoOPWY4gRhLmQ656B
HDJ/FqOkQPmXGpyXUuuSM25BdpX8qb817HF5YIAVB5WmeEldrl0g7+MQmLLsuWqRmuk/nSfuzOKm
a/XmFDtGcvD0dj5v/JCTXObVEXJ1izRgWel5OJW1ArfP50O75MZqKbTwbfYS4QUEKDSH0tCus8rX
N3E81fea5A+/Cz3DeRGpH31aHrdnoVhswKyGTQaeTRZMzDpFbBsVu61r8VkDc+uhL84wBRogbx2w
N62D+iaa4bJVHLhQEeFcdl45oaHEuYoXZwGOsxRBrik0wj0UUw64HMT/aJUp3lypyHOOYtAtVqYH
leLSuYpQVw0KVmckt+53eh0cu0oR7VCMxgef3ICDA313FSvynfBg4HXA8GZFxQMrHygKyffd0H8P
c2U0++vDfJP/n6BqmWH/yUnOF/44ybHqgGVkSmxaOFx/Pcl1gjwNlkXx3jBCVoPqHyc5cDeHyBoQ
bl8sNtWW/TjJvd8wqlkc5kwl6Q3+WYPHKP2PJ7nH98FBqFkMBblYeKWfT/ImCmdbwCK4Ak3+MKkh
1sg0S2ATWrlp156INGHUhan1ybbqfu3beQPiS7hMpRCgOzGWR3ajB9hmeCk1ZmhUci7wNY9TF2LZ
drHQegs1dMO83K57a6g2TeiP60YN51KmdIQ2cLrPXsyp7t77TPJwf5ZbZ2E66zLlw7gX7Vvmfn0y
P4YT8NQxrW/bKmZ6KhJ/r2vRe8nUcDa1M4TMy0pjPRSyr87MOtW30tZJNWHqmE/JTqoxZMU8kibg
OeyNY+/UHaEQw602Rvk2agjcGCaGWKi7bw43xh4OFGUsARRbv5o/nMr5cD0/DdA3h6BjQurP5lNp
VOWxHvJqBRfn1Rjj61iNVfkx3/2yuMpspDATooCInap6mAHabgxN32U6Bhgbtwty1TaqkHVCCtbF
Lj6cXN/MyhlT5fXOwivjttPNBApgz/HvrYrRJgFiWpYgTYSzGcR85caTuUrw3yT4cEZlyMGX9UWR
q2BqYNdJ8e1AJzuYTv9C5AHMdxNrz8B9uiizj6fJBy9HTT3NHWdY3c8LYhzWVf88FvXnMsTQ02iw
Nl06kBEyI/lZSz7vioQ2u0lS/1A3Mr42M+MeYYqRJ0Eme8OLV0uUmc+L5q4AtPj+cDc4eXTZ92V9
XLSiBWAvsn1tV5sp1W502gvMwB7tEn3mKtOSB9V/orGyxGgKal4zAvhQO/Uc2BX5PEJUpygNw5XT
wQh2tDvCbugeUowCAwsMuXO0hpI/Mfd6mM6PtZ18c83iPBTgJ0q9YbsLSMvKFcOrVXR0GZb5LIz8
BRs8brDI3UnfYus3TveGRvfqVl0wDwt8M7PEquBtZZkFM6SZMs/OndAlJEmwVSDlbbGUn1peeRty
aZwV5BHkyiwiI0yk7xBEnmwD2TSeb/K4P5ejuEPUeOmxtWLmZ7d+EGdQ0i41M7yfy/RMTgXvVmg8
RAVU5rgN7wjnOetT/kK1EVlbs8Zfnnn+ZWlYz6E73aMmLas8ylNm11jfCWN56yz/ZmpZSq7brREq
m4c7Xk26dWNKfpciTK7bTj+ArF2zg3aMMFgMDowNYb9Fsn9QawVRaTOKsa/iZNmbbQFqiol41skn
e/C8XRqJYpUl6IscczjfGkFxpfTikICZ9Zi0T21XHE0fnIlpHGJteRhKZhsjOKp1Y06HurVVbJSa
8oj8hlHIGzlE6KYZCJrF8XYqsWCDuOltwr7qNpScxRbk/36x0D/SukiJAanXc8cI3mDWo05cTim9
2mTWeKoA8KAW9Np2GOV1pGE+0MFaa/wJOJOuTelcpIP/bjuKr+g694ZjXZhWk8JDQ7ofZU05oo64
Nl7w2Wm3hl9uczdGgag78IbM3XzdzvcFbbue98gwRe+sHT5vwxLd6pr15hbIs5HhXUC6DXdRJMSW
PZsb3WV61kSZToCH+2aQDrPRyxyXnlNvpAlmp0gMC6ug3GbIw22/hLdpswB+afW7MhlBEQJyf69j
cemQRAH+hTMiSR6neLxq/Xhf2N7nglV906NMMXfRmIM1NQl0nS1gwHdL8VgwYIwuFrgLq94Zqw19
x5nttXe+mqm3arpOhtdLtSQ+itBowvNdnsKR6bo7dm9OL5r1MrQn+JaXMWN7k/H9zBhfV/N8s2yP
+WJsssjKN0NvXzO+vxh8Qnoc5QZIsQV42AM0QWXZKseAPaGjoUrcmZgJkpB2AnNBqlwGGc5Vfprl
yVcGhEY+FPZ0DRbxxOeBPwJWhQLLwmJTgfZqgjdq5Q5xcmDRoL8tMTroTnckU+rM0ub70qBNwBDh
YIyofaukauapVp4JN3dwTygfhe9QgCXKW1Fq+C84Y4Mpqfcl9otW+TBcDBlR6mCqVB4NW7k1sGzg
26jTw6KcHCIj/+XL26FcHkx5jQOzmSTwlQekUm6QTGvB/yuHSDSzzqM8I//K7t9ldyqUv67Ktgx0
yj8ryfiq30sy3M4OyjZ7cyxca2oL+2fNHSwNVZej8X8oeM2PkswlVB2WB7tcas3uq1r7UZLZgLkR
210b6q5aIPhHngRX+bB/ba5Vl+7jbHR1QCK2+Ye1jqxgYjv3oXsJWf8Y9c1YXvSTIYEaFWNdk9mU
DMvOmzrAl3ERzQ+Vr5jSlV8y8uvT+Hk2u1tCp2QQs6i6nvphR1sSsC/DmE4rDXqJ3FlVfvpGjkfC
g2onGynANZXkweDK6NlnEs8kHN3gQXichkrPrntMALfMh/f+NGNGDBlF8SRHWiIus7D0plUzNsy7
RfQs6z4+hWGcOKc4l+7JLj2WoizSF8yVg0JfBXZYaOWd4wpSpjinpk0362FPjF4XJw8DFzGpctn0
mBl+jOMiq/ZJnKaSK7i9ICLrOA32jR1ZkiFa+aAt+d1gMUas4vrdUJK/Ew90zFDIW0U/1c23WEUF
tcK6dAYDFX9+GOLEXpsUhGIUgSg4AiKldFs1tERPYt7rStfa6Fb8iLDqsc+VoT3at5k3XaUp4Z1S
JN8M370rButDs9Jk0xX8UWyvv3bBjfI8A96d+P4rA5jqizQj7skp2WsLu1SNWokrcu+uyXVjW5VZ
SaOngJapsY8xgpfj2AbFlBzMGLCvXWD0ICRqwSyXlRuIVySaafJo1sZ1aAzFGlccnaJl7KuMhTDD
g3Lly9k4yBF8qBi0b1rlB97QFUS82VC83G5XlP4r9K4zx3fPOpNMjcRjnGwu/i100XFN+Oh2DsU3
21+2uTYfcJtfRi2DdwwlQd0uzh5MBn1vWH/2lWhXTjJlq0EU71Psz7Tf5RMf6R6G8ujuHVX68/G6
RsbuAddWl72dCurG8JT7rDtGWOOiWL8Ja4Fuyo260ubWXmMR6ZTpJIjt6mlIDSB0UX/seQf7btjC
P092s83wyNGaarOUYOdGeTU39qPe9Zd+n9ylPXmZidY9FFF8oyKs0KcH0LaOOHBom6sxbm+kG94x
Eb9eGkBo4OnqADZ7tPKTRAZ6G56GcAE1Fgq0G/HeNiIONKvOdtLmklp0P2fwhU4T2R1ajgbujJjR
Y1W7Vymha9vKsyeAnKW5Lsa8x8ExnTOI+QZH/pgMHusFXXLhpBAqE809g7yu7zSfFCZJsIvOAxBY
evraavW0lX5/5bfW0yhibc2jPq5SWTjreDA/CznA9ayrm2Gp1z0Y5UWR4V1XhRuWFTJuNt4b01Lu
hcWnM1QlXZcnH7k0Fi5H98me7FuDXcPDWGW4JFrjQJsIONTzQGTiqHFw2a21wrK2U5NeJZHDrkV2
U+TjZRTz2Z5iZVROs01S+CcjKqH25fQTUz2xQdrOctWUzt2kI5hprfYZGtaLZubvjFUPzWRyz0c9
/YQwPqxOPHSp66+Longopt7YGP5wK2Wv7xKneK6kdWaLStojdTXspqNrzc61mXq1S7KMBus1bt7M
CVC/YePOVz7gwW4uHDH3myWjuxqXt9Y0nhvPN/e+Rm5I7bunZRjLwOtjJjItjhhGs+WKhIF3rITd
QXP727iEWenVWr4nnVWuBjdLOWvNl9qxbvuCRLmJHCksDOEUkBWXBmldlzhLNSA4+A/ZvvwYF+kH
pU1lmRpjMIaVu8+y0mczxcpXrOwT26LRsWF8eWcFFqREx2qGFk72ZTLbGFS7BgCjMOLANJqbqaSA
kR6jQZ00sywpZ96nBPOsKYPETmUg07i+KNzpIIvwBVQcaARhFRvDxWYzm3xa6zZ9d9ySLixMl41d
htvIMiWMxLY5VLW1zZgjQhV08q3n0fhxHi67Mm1eWs8mjk9gWgh3FSX7dSzIi7SrxMewOWkrvy/8
7SxKqEMY4a+d0qi3bqMfCCM8RwZl+Fmk3o4+GYM3Jrx1OEp5jIfhW4aveRvXvXk0apM5JWMfQkqi
ch+X5XK/TAXvzSTF1mbMuxIU96uIzL+V3Y8HQuzYktU9YLo2OWq5fwz95UwkSwG8kP4mzJZrwscC
XHK3nnCd86Wj04sHhqrU/yeg1nelwYKworFv8U4nqyEWLcTA/h02J74qOBy72WPRXOqoyPh5Z0CN
8alPjFMZLlqQVcm4q+vljKyncxzhAXk1pxFlc2OmjUbsEe124raXvp2+e8zB8y5EkHB92lRStrHT
29hvPblB62M9dGnYA9emB33IXqtMnPI2uc2wf681tiE3aas7q9aqP3KidKJCs7a9aREElVh8SyxX
wZRDQid8czUOyWXoD8xodW0MpqYN11WYnZUgDvfpnEYPTZzj4g6fwV3TuvDoku35iUft2TYFK0r9
Zf21tdwX76Ft+BtiJTPCIPOHofLYyU/YSTaEuF60WgtEnlzoKMm4ELOzHBV8bXGn2mLkANP1j9nr
sKSE514oi52WyCP2Lz9oMrFK7fKxkO3lXBpMvmVRYDe31ryhx6bTz+y8+CZq73OaaR8dFBSiavdh
l36wpL/thqrfdcRgdjX/OlXiQUs1MnLPCiCX7eAyssxe/SF9IztvXY8MGdLWPeAyVJ8aL1p3Tntc
uonOLePtKejUU6SfeeHzDH+QttiwPky2zFbgCm6TNOJ/5gAfC+wzba6vLBaAMAN4yY7K7YUK7JDM
ZJpQ6bBb7hwXu4JaXSdXTgNhw58edZNvXs8Vg4n0LEO12plF/25hbojckPQkxoeaWzBCLR90kwvP
L6OdDQg8kJ55yQb4fTtNtKMdC0qibk514p8TbQLtgNH+IIiFclNbR4ovdliV6EuNdAPUtgDYCmod
eTza4q9E+1lYxMd5cVuMDb+aB440pu5ceXmC8G+q6qE9uGZ8nGT6Get2so0m70rq6a5adp3PDoa3
a2UZ6PO5J7K7OB9BM1gEEoOr2KXpyN6FSyFjLm+mN22dKXrznOTcMgainEIt5s1qXlkNUCmZE3mO
0LHbMx6fu0giq9G/Pei1y8SZ4UXXbry9GeV7A1Pn2GdB6Jn1dem0BQb9MnGY+Vq2Lh7jsaq0NRsZ
XXtkN38q0L0meLPbKh+FvCYA/qXU7EQEVsiWd7S4UxJ4fnas2I5YzRmJtfScu8UHXtVWYivclES2
TEzbxKoCC1pyEI7VE7apZVN6Y0P/H+mb3EgJ3y5vJ8uZt2xdfxJH/wgNHcAvhZcIE5B2tn+IXeuV
PJrTnBCnG7vEj8VJX6ypu7o1eFlGONOorwTCCNeJpC7UuNg6rjTeP/XeUZsPPklgfnzetKz45bUV
zL17OfbJFVEJ52ocB583fdV9GXS+dU6cDtVNVb9xt2DlzfN1Vnr3XZJYx37QPhaSe3dLqmEiGT2I
48MJmw3hOiodm1ZiRV0zBU5YfmunYm+SHrPG0bpsm845t5r8xoCVWfY4Yuyimvacu+c+oRmutLns
MIruh5EnOjV4QVZc1pmVd6uOLIC2w7+LoXZXG1S7vp69ZE2ytuKrjHCB1JYrAjoPdot91PegSTMv
QaLsrwo7/YYpGQujjq9IJpdVpF3aLATm5XhpGVcOUh2RnkHbCoBQWvVIJPKhj5Pn3u3va79inR9A
KMGUs+Mq+ueauvdSNsZLUhOU0wlOxiI6LNJdDumQv/AD3seqtXepBTdxXzOIKsSLBaDtsVhGaOtN
ejYT2hp0I0HTslguplHi63D0p3rU4Atk19NUvma1h1ep6/kk+M+5XRFPGT8W5KL/29D/JyqS/vav
G/pd/lGWfzJi4Yt+9POG/ptnM4P+Hn311Zn/3s8b7DyTsEVOo20bzGD+288zl9GI0/p9xvJfpg4h
kiahMvyb4evfnXf/wEOnO3ynX/t5APXMaviengftXRn5fh6xkCbrGvPg+VdG0WJOtfWlZkit0v9M
UcYGOFrSSl/QLNtrhtxkBRYqNnABwOuk/nlb+hnXRfaWITRKioXRAGorLQtlqTbzWSUlLodyJtdh
GP1r2tRPlXe6Jq2P69DYCbymUZfQqzQ7DQ+qhxd1rsVeJPkbMTcmiOPqPEqn60zZV52+Dej39q7G
yivtLi7taY0FmiBpvK8sbVwaVECJMsWSjpJvB03upTLMlkJ/S3HQzuxbHVrPfcIBfFja6Z3z8ILs
xhzYPL/bs481qVeWXET/j1Z6QabMuqmy7ZJY11wtiKOgO8q1Mer7Bo/vqMy+k7L9ZqZoCbvECqyZ
Hr8tRoKgq5ZHFIMLT5mHJ2UjbpWh2EASiC3s+uYQbVtlOtbbyN2k+JA9/MjMqMagURZlosGeCzzL
eAKo+qsr0nzhCBWhvS2UwZmFjsOkLM9+gn9Wh4ISaJM1YkjGGk0WihnQ+xZrNlnAnMjrws4OHZ6/
FQl732QxeitNma1Jpme4AjnEjOQr6Z9su+n6Z2+Io45Tm9nyeaqs26EycY9fdm5l7K6UxVsqs/eM
65v4m49ClNMT7+dZb78shXNhsdSOdwnXcHpkh+12UjbylhDRDv6234DuNsqBa4zsiGhFzm8V4zDq
Mx/nUgTWPu88ixN/jHeJ54GOIVjUvzAIJDy6WTXuWC2sDvxdam1jaWwisuHt34YYqCHHSp3on6ZC
Dhhtae2Q7608yIc52umyipnbla1x7ub58OhVjrdnK1R7+lff/NI39b+lQ+yHgkWLb/3/PhHV1/1+
IhLmhYLJVhWjZzgenDi/n4gWCbm2DgNCw2CkVqB/KJygxNQ6NeG5JowV4jAZFf9H4bRwKWu6YWE6
+qGL/oMT8Y8jZ8sz4CL7ng51nLXuP2Jr+gGzvFvZ04m4mQivkLyput1Pd8TpO6/kZzTOd1TZrxwT
zUZ58VlohmzB7/vroaszV0jTrKtP5gTQqyOBqmOzKTaN0jzFuDV5/itnzq6XKnG8yziO3SdOCCO7
9jRbrmOtmA2MJPW6Ixa+iQmdDvONYybE2ugIAou5ljI/hbYI8kocZOezBVDd9ho0Ixnrm6Vxb+ak
25Pqh8kG7HyZkFpgW82RcOor4WVvucxeBXs6Q10f2Fd4YrZKOZ/EV1HfbTwjP7gx8TH63H7S2xAi
nkxBzom1Sxri4wUwoRWh5vtmpMYc3PSeZdnG7HD3l0+Rox0IE8f9o9dHQBQfeefHDOIshrLFR0iC
F7P7moQADUR507VbQhbPw96dAq9Uw5jJ4HB2tbeZgCfTIqJMt8q7UY+OoWHctzNPt5H0j1kBJTWW
03vnWEdpteW2SeuLMp4noppcE1tUaK/Dqr1tEzZ2XIv16EiaF0WETaDvzOt8Is12GYcnkZrYe0hZ
5/5mq8foP9n6RH1JjApXeHUqK+vMnVqLCRQxXnnWpHtHY4EL7SBaz+lQbpLaYKI3eiRX1cujXlSo
p2pDbhA39iQYbxr53VT4mD297Fk0rQVPoz74eNAu837S14ygj50gjEDTG1KTvOg86t9BnG59TGZJ
MRlra27o0PLyMVzYgQsbD8Ep0o+tN7RBP7o7ArHeIdkD3ZQtvnjr3euKOPDS5NMrKJ8jy1vIiPDv
8Bd8Wsm0JoPsI2kQCfWO2AKD/XAdi1gVFafR6N70NNXWrco5gj13ICsFRXDst4mnzAkmBiyr66eN
JTRikcrhxFDtfowGFobynoDYuFXa9W00901QAU5elyGjU4u9jpEbcFGns++ltwbRtYwjaYn88THT
qNgT6Xymqf9i65kyrwLBMucM1ynJHxdlkbfrKE3qNefKfUQifWnZNWviJOLlrhvEVTzxYZ1fxjRX
ERwNruOJv4frLs+ZE945I/f3mJYfFquK27HV7rMop0/BDzsLlbgZ9ehX4rMX3jP7ZszTsngNkZWp
xBwy6GXXyqkMzOEyO9SGQmlNVkuaVc1fw4eq0tzZ0URIiUOGR+3n2X2mmf7BXub05JjTXdMY3EH1
R4G5JMnqHEt5/U3vG2RpRCrGk6hp2dSfDW2SPlpWz7JPmKMYPJT+Zt7JWKbnBQSCRIibdkh9VWmQ
KReEBVHTI1524c5V0Pp1te5y214h6awjswZTZl5YJHtTi4E9YaWr5tlUzunLrnKfYs/+SLS5WXGs
Naji+rYgDmSM5Rnl7Cus07OpT7ClD8/RYGHuXcybttQ3mLlvKt08TLq4YfUqcET0YGSE1Hk2kx3t
zJ+iE8v8Jwm9ZOn67YLAzS70N5o1orLcNMgINtywUbTOMFm7XcsaOSpfW4+XLlHFbZMRS4O1hCnJ
xJSINj31BFqtuJJ9+1AkfrYJje6jY8PdaOZH0X3YA5/E0XG3psUq4zokGxmvRzhRxKaDFGKjjdJ9
cKNx3jVNa6zTCE+97dV9fZmZ5lNRWfi1F9bExzLCTphybq2yyqrlqmCXddfLql17OXWZZxYPGdFF
4Cyepil/IHX2GROJea0N9nLiwmu2bd68NoZ+iFvz2xx6V83CnnvuR2qZDQsSml+QNCNo2jRPtsVS
+HdW4cmLqIhvkyh6Y9og1lNGKl1Lo0ix2bPEVaIzW338XBq8i1N8B349DXxTHIexexr0akFmNItt
qKh4NT8fS3LcPWs/4wyAJuQE3VAvV4I1lzsnRbKV0p82Uct6PU959xj63RBYvVvseZq9oMn7wHLG
cT/q/bRDmarWZlHJ3VRqMdUe8e1Rj2KPBGfvJ5yoe2rZE9bQm86KVXO6S0dVoIoQtgMzpMXR7yi1
n1p9vo3s1jlArHyqVMIkIS/h5d9fuxQPP3U6lA6GBigQM7lDr+Oyo/TrpevkQw0LtBlOlYexXL9K
vTuHn9qmWyCA4+9f69cqQr0WnZ6jmzrAVJfhq+q6ftpM6roKvM/UTScv3ITZQyNJqnr4/3sJ9SP8
9BJT3uT5NOTTqebBBDKyiscXq779f3gRn0bTpbbSDVV1/fwiXYyTNy2n6WS2dw2QXgH64PD3L/G/
3xb+VD+9xB+W3HsU3Iicz+lkebdFs12KfkMVUrqvqfy/vJJyC/5adf36Suon+ekvlsejXThsjZwa
8NB6yajKOA4FwslmLI4LvOa//8XUD/7Hl/M19rSgC5g+E/1fX66PUuI6e32iA3rSVRiPcxfFZ7L4
t9f4Lr3o7BX8tfRyKOqPNnnN/6TX4Ot+9Bo6DYXCT+Jx+lJYeA5/9Bq685sO6djlMPhaRuSrfrgp
aFAIGtYUP4lnlx2C33sN0/jNwd3quaQI/geR/A96DdwZv3xG2IIwbYuFCEaLBhIMdLtfPyNu3LTl
LBp5MZtM+Ld6poHtrV3wBp8aKbg2pRY4HW53k2nssicZNptKyuWUE8yxspvQQCP1sFDtWx34DYv/
xnuEv3td+eErEOLbLMyKk8wA0TaLY2xNW4+od7XuonKcz7j2uHGJtORpAA7A6MvcuB2LZb0zuewu
6fb5gk55EGXeU+4zI5TrmWCudZpG7WWt6Yyrkf6ZW2dn2JLKoKsnuW1tqtm+IWgtB/C7hifMJB7X
yKU1ymNmJ+de1YdnxI9m20z4KKqISx61tQPeAGLVdvZdJos913BDjbfWsy9kHTdi45E2plniOef0
rp25PLrxcKc7RG2GBfo4Ony9jnwpLtvUeZ9KLvqmcvUdywafS5q+ILZjibNGvThMoRue11Yq75kx
hQyFY4D6JopCnH700WI8U/Yyf8cRsh2dvAncLsfLh3oAkcov/TO8gfrGmTRxtOpZO7dJ6N0lsIaB
yA3Oeeu61x4rbrfUgocplneiZpeyskprp3nVteswLISPzH6nZrFzUtHFLRlzD0ub0KhkJs71GD6e
K9vYJrkswuigmdlZH0q934EekJTJS9s67VXMezdCxUguJCl22CoiPWRQn/Kd/LXni/6q9vwGtwfK
iX2oe2ncCYJGE6hK2XJsx9K/SvAQNqtq8RhIQOYxwyuf2QSzgcz/HHU/OzewaZC7ttyy96HPwddD
+68/30TW+OvT6/b1vX0tYLH/iRtMfeWP8wv1WKNeIUPdcPFa4af//fxSwjIOfGxd3/+Fr/pxfgGZ
MzHfo2TwHyaC3Dw/3GAeG93ozZw77E4r7fmfbGAT2P6H88t2XcCc/HRY9C3Kgz/ccfR7ZbdU83Q1
5wzQrSEhMXYkEVa1PoU799tOZIxSsMSMz1NanNVqdYecd4DADWSBUOJvxKKl30Rq10eF6RWS5EAH
79aZ1i+vtloN8tkRmpym27gpeXN1Ht6ag3AuypGVZMlCwLbG1XRJNbZJo/ihx7Q1MZPbJr53BHJy
tFr9M5vlwxQXODSyqyZvWRo29j7WrZWfFuRrF2ZNBjNH4yJNMgo0q+McIa8Tvfwjda37yREv2Sg+
pjHmLGBwvJ4nidesKr4Rsc5SjCaAVo8D7hzgBZM6o0efMKDYIhrKdnQCfKFcjgPpn4OsHuKiujac
aONUDJRciWbSDGRHR+1uiEBUH5zavGHMdYHg/rFwisny5Oj1xKg0Iw/Y2dI5PhaNCVgmfI9L+260
GfRq6aeMrDpIcuPaa6VceQMTpzHq7ivRGys59CrOMc63c5/P0LRZpGgdRq+YXQL0FWvfeRqu4pwW
XSsHd7VUbMoXCSsJXZj6G9ErVhBsswxs9qoQRGoMIr0hQ9UIZoPtglTSB+oJtHO7EuYFrVpCCOFE
I4/x4biIFiFtJppVVNpumLsDzOgE2HkPlEZxsIYvJFb55fk1lP037ZQTOP9yBefsnM6mw4LunIDp
wzuMarSf8RLHvULMF13vXvRh3/kvrb0k34q8AtDv67kPX0snHLnjxnA1dt67BWRqZMhyW1sTUOPF
SO69yXto2d9gyEiYPIgeZGeG5ZOVGoGoB6bv0rvzS9YTChs1ORx2Oe4Mblz9XgzgdQbMMv/D3pls
x22kUfpV+gXgg8AUQO86M5Ejk6NIitrgkBSJeR4CwNP3B8tyUSrZdbz3plyWnEwyCQT+4d7vktE4
F7tBFeEtnuGa1tUortpFWKDzWZosAcZoKj9xBcCZt2S5Ri43XhcTenG3VxXDl+GlRVNxkqkxoM+O
3ioRkSsE3RWTtbjU3DLoVnrPIFxjtS69rt83fdDsjcbJ7mqnzq6GUhafUmPqNhUuB6gjUMfcbtN1
Dr6NHpNwSFM2OgWSODwGSEr6ctWV05XqQI9quPnXOW4z344N8KpUQdspDpxjN7FNDKp1HcFYmyxm
LHSciN6wa4UWa10D4stB0zz1JU2UYqVfB5vY7YrdWJXpa2raEBZ6hbexdo+pigCXzAjlm85bYrHn
CtmJ7TU3yhTBRRSa7tkdJkhLmPG8xZZHajd35mLVGxfTXrfY9zQXI19LqbRKF3Pfv8+jb5P7v30e
HbjSflFJf3gSCfs3x2Jgjw3L/UmXLHjeeLpumIDK5O/Usz+fRJLy2/IM6RCBvTxveH58fxLZvxHD
Lb/DU5fF4z+ppJ2fcaeA5j1z+R6gMpjgwX9q7kzyM8m8lx1xXE60Lcss3oxlzmzzZjKGGSlI7EXB
7PhWNOgREvchVb4tOkMgeec4IGFzis3sVLtxPV1hNbKRT3Bn2g1mm5HQXcY9WWTuhGTaSKVmZXGL
3ixIBs6IwCuLL3Pj9Na17HuvKTYSuBDAP9tWLSHCWp20z3IGSzFjZYBlgURkbAaPjF3knrukrbxz
VOvRIYTItqqVsu7rsuLgxC9Q9yWsNStNGHXXajiBlZy2iIlJ+czS/lY4qXrRC9uucHRF4ctgNeM2
a/X8AtplyWi1DC4Tzba2uHsiRK8CjLurzOlGSAM+aV+qc1pIdSkwM2wahLOlQhKNIMZonmH/tOus
Qy+zjlBdHSI76T4ZqkZfw1Pn1Z0zbzdEmWIiDaUJI8Yu0yzz1p118ImLsjjr9dFC98Z20u465KqO
TjQRxrdtSpYLLGWBzKNtcXyxDjBf+DV1+zrQsRuIChez50XGF3Ou5utonhMIG0ZvvKTMLE993YaH
iVXiZ84XE4qAgfqNLMnN7Ob9Vd+nr3ykxaH2HHEn2ljP1gkRNmdLIQ20odVeEjwebsLJji/tuG13
HrAtP5k993ImdXmf1wUTsiknz4ul6CuymuwCB0j70OdlD54hKfAWxsaZdNYMqW/UpohhA8b8Y+3c
MKDWttTi7bUZU1agdClPHOzDqW3TI6XDTLSF5m5rexrflRVle7fKw+NYxhbfWyK1M6euTtZMS2RL
OaG87Tpainpyi10Vosa1sNZRUDVMFGbDC45ZozkPjNkfsRYaF4bmVld8+8FWS3Pr3JYGorym0a+m
OSKew1XJIYzRWVETJIx/q+k2alwF50PV/hT3ox8Oc7Bt8T+G/1b6f8wp2N79daV/emt+oRARHyhL
QjJTcIgzgPT4x/H5fUYBYhr+nWBEQBdgOvJDjc/x+fuSUui/4/KXPeX3k9XiZPUwzkqb0pL4i3/m
+Fh2kf8ZY9k4gJmXQoGiAYeIydrypxGFqEJdRDOx7NDYIKvGDQa9yMg2sra8nRzc5zYI1bZeCH9i
mhNLO+at26MwlrGRPMUGSuSrKCj7+oAkoMoZuydK97Hv9RLub9Ooa1LTLiszjT8hHcQBFZmzxIM1
tzTRUfLFzGwO8WIKdxUp58IPmQ8HE8U3R7xhzfDyfr9aaxv44MEKtBw3nuhk1j7lEUY32MxYvVAh
mr3Txu3WKMZYHPMcbPNdONNss7UMEtY3RN2AJA4RkEjkjuPQORug0MlOS6faV3UgdkPqCF+N9bzT
U6d5AAXQi33qTc7sm21P+vtkePPoZz06SKY4gYa8wao0ZNvV7Jz7qY3KTWWUzl3sOM3Cza7QRaLA
2YkqSrs7sgrxnDpWlV2NhhMZu1ry77RI5edZWR4MCvx4SbMao1Ie8GiY+r/Fzx+3KHXH39yicRG2
v6h+eNH3PhyjPPoCm3uRvIhvJc6He5QMZRRUVEdUMUz4vrfhzm/4UV36Yxdv6u/34Z+36FL8UP1I
g7mkZAj5j4ofyb3+0y3KuBLHGBg0gtYwy/94i4rA7EhWkvYlQCKzuceblOWoIKdcbIhxoP9w0R7F
oAtTE/SGM6K1UtmNrpmATc0sR7A9dvG6k3qAFtN1WvBDZUOIohywGvd2yw3VtsERbCiq3zIr5/Sm
xH1V4cLClvplVAZZFKZ5OTlFvbEWy9YsR+wzdfRSSmQ9xmLsYtpKu65r6xHPFwqAdJ0b6bRR+MEi
EXzmeY1DDCo64vfsd+dYCimIBhQ72WA3mEnALcnRWZf91BVnS5vgGmJ+jq04wDWcKThVxKYFxVC9
GBCZQpCbUD3yYC2qYtvSN67LPNnXibaPY1arY1O86GaTULOA5kCqfB+H2qtxrorpXNK2j6bk48lm
9pNZ8EnU7k1e6r43DbtkvhGdc6+G9tFxgTBhU/DO/3Yh37oQbo+/vhEvntO3X9yHvOb7fWgYv5nI
aahTXSZfuvkRPWT+BnCZG4rUvj9ghd9vRAJpUAz9OUP7oB0y3d+IWmAOD+KCO2fxVP6DLsT8byLh
cgZ4/DmJUIArfk5pYpLNqVwX9lU6ZOFJC/M6uBvHtKj3oGDSnSLjBE06jvWahTh24OxgNSgt7F6z
92mAOCSfDDZSSmcunjBS245Ad1eWXHA5iP1dG+WMSohWSeHga15CXsIc1Dzh9K2T4+Fn+7r1ZvfN
TgY2vRPOyiCwZjSAUXgqRnVKimyruQMjLyPpb7uhZRA8Ol+y0SsAx0SerxDXZ3q5n1EIKCO8rUUB
5cuBIAOxdlgXebPvZnHptd4bRsub2HSv6OwPLFzv8OrttLL9rIVudSqC8lRHxApGVnwQnvqcgTp2
teguN+z7MHZhtLmcB1ZqVlTo4RMV8sF0Kz/Rgyc8Qc99ZAqGe4DF0m5QJAkSQxjD/qHNBHPUoMuX
pXeqYQgRrmKgmcwua3TwGA/Cc51bz03UXXWADjo+aIxA0BhLphNTUB1zmcp1XsLc9VwgezMacAMJ
5QxPLUVILytTbEw5HedA++w20c2kLEIau+TQh8Tm1LKdOQU4Bt3FryUCjK+q3NMVPaVUKNT+5do2
m3kbTrCYwyp6BZhG4Hkl7E0hph1QkCMpyOaOXILLorKMjeoyotqb5qEKIss3m/femfS9kzqezyif
9YjtbKgb37WxRafuecwve8YpMQKGQdaf3MbFLOple0AeNxmpfOCQAPgMTJi6Sq7tkHnPqIfTF/KD
jm5ofZV0TOQzJB4Aj/nJaqojhtUvoz7f1GgAGPE/qQoPU9NF76Cf8QuqFIN9m1zmctqnzG9x/Agy
qHv1Nroe/idhsy2owm1i9K9ThPmD7nwrh/R1oqxkLtgsWIfYaV8GtqUX9MRsL/JFjdmhjMs2atFo
8vNj3pwW4SZcOEScA2pkuepciY0z5zTYkLeC3qUOeDGDJi5QhKOrOCBtrGCE6Gk4eVZBqkHJrKJo
Pw361czNcDO5idylmosnn8YRGqVxNM3EXON1WZk1r5njSrtKQoKQ5KiXPoBHBLB2bUL+FszeLDMe
D4h/7JVdl/HRdceZmtdWPp6jDjUdtkx9GLYKY5Krh1d4ydAuGOJsAodcQYq/QV8dbtosuaydiqwk
8choYbprhJY+FYDcV0aNX99kryKCpvJdWE2rxjFT7B3harDAiBDWBEGRQQHEYpfrxgCvKwuyE4Xq
h0s8kAQblvBwtOnM6NBPPWRLPQutVZ+h5yFa6qXptZ3AlrsaYCcWTk9Ige0eNde0jyLM3E1ZJWJx
3zRfDGr6FaZo5cNrIkVpeVAWkcSalTfVVqsyXL3drL/Wwvic5Hmw9cAh+6pR7q6YiYdM08zelTlY
hBbSPPVyXa6Esfx+AydfzVZwqr1olyl1GXNHkQbTHxOmf5Hip9Y1wpLD8iQmcxfnQeeXHpaNZG5o
sz13PUbY7Ey35zdEqjt2qi1u8mmbF/lNZMfMEhefJt7Wk0tk1EpV+i620yccPbtea+/mdBiI5gMN
EpHGWIj03PYNQvU+hykmm11QVXunb99DM4g2No3WBtQHNyxyI+PsjvmnvE2yCy8args+UVZ5QCfy
EnROCEmGscgjpc9WWdWpD9y3sTQEIq782KWKhlqMO4k1898K4VuFwArpryuE8/NXsMW/qBF41fca
gVqdsEQW64iECYC0P+7MdKLpbCaYSDKYCS2BCt9rBBiEBBXjgeDhTTG9ZDF876ed3+RSG7i8wBTc
Ff+oRrAcvtKP1brLBBXhL7GUyGrcn1MdNF1MrdGJ8Crw8q1cbIYdMQ+EmTSXBME+VjgRq7HzNjPe
xGXXtCvy8JyV/V7HvWgtNkbl2UymFFt+mZ1GVv2r2UuQtw76RuCCLBY7ZLcYI10ckkCZUO/Hnudb
cfUqegb3nUtOOsFqgxieHHyWAr+lvRgv4zD64njZRhtU+ED0iw43OD2FuQrWMmCzw7ddbnu8nOVi
6gyF8YQzHhTnYvjEeNZuFMFqLJiCd8JM32jcsVotRlG3TBAC4B0t0+gGI+3zjKdUW/wi3mIzLe14
9lOcp/ZiQe2xeqGThKDVyvLFxaca4VfNacGQ//Ij9ouZta3ENaxYtnYEAeN2TRbba9LAZW9j49pO
kmu9MMdVHJOKoxa7bLYYZ+mtB0wM6hXfJqNN0cfkO7jZdo5sug49+QTD+JqOA9ukjuKhhbR6gTj3
rsWxm+eCmCXVbJMMF7yGqzfC3Rt146kqI30tVYSOGwdwKMDfhiWnFd1BuSp7Gx9f3LobQBjzPcgI
gPil3aPrlAkFAiZjJi/JFnzMV20xIIdkU+Ap1HlqLPZkU7maX+FYdhbnsuVWHFpBcDMttmY4vN52
CnWszlmO9G6xPxeLEbp0NDC+lGOxBIpYf5kYQOzakGCCrIrybRpKjHk4q3FCMJXB94zZOsCyXaNl
lRixszB/7bwI5/di0maqm/vZYtwecXBnOLkd0h3OaFXx+S02b8bR22Qxfus4wONAQIlfTOEG7vA0
QMwhKTI3yWIdd3u6VH2xkzcGW9Swn1/7RjexkpJU3S/282QxoveLJT1ezOnz5J4pQwBFjM5bU4EB
atiGFYpUD7PjUratZNyEQ4xZOpxcRu3OXYEXflhM8THYLNIPZLbv2DwSYaCIgsZEH+Cml4utXuU0
vFTSVBeL6b7GfR/olHW1lVl77DRPXmK86Dj15WLZN0Z2T7mG2VtzkcTi65+jmtQUizWVkjWkrdZz
bqgoO+u4oHIXLIANgWNsJojWCrpB9DiG3PNG6hKa0vc6rcC4nczOvJYqf4IGyTLcJZ8iaAE1MSB+
GMMFeEJouD/GwHwVlteyJIs5TUu8K73aqYzWPCbxJGhoCkQUOifcAzUoUnbbWCE/zWVwBSHjoh+9
dkM0ynvc1cir4TEb7mlw0bh0yWmeo52R5sdIi856QpVbgkddWVkPvqKxbnUCHths18O2HsXJNQF5
IFw6oN82fCflGycmrVXWSdf0d6eTW1Cey9Fk+WWQT8dSm54NghxXtQCrUI/kbQLDdo7x3G3dMRzB
tSSy6x4LVqAl8RQVa2cs7+Wdqfr2oRxH9TQGBuZMR2+HhigP1/4SpqV97NoqC69BiYXuoas160sQ
Qps+J2Q/73IvJQ/dCx5FRNCjPZI1gzCGrA6ul70Fjx2kG2WE4rrzbZitK67Cp97q9zNyqBVV/T5y
iAKRCyhOxSEEhjK4cef5aizI3UQrOK9p7q4zJ0zve2Rmfl5BgW3SzKBySt7DRt40Dm2UpmCpMfWE
Mk+Igazkrel1X/NpeKhtvKzcxWR5MElcxAa1Pl97Vnzq08leV5X+LEbO8bKA7MKgRSiRrbsuaPd1
psVca8HVlOrGeupwjmhoDUGuK5EeisXP3JrFsyyHyDcNvM4S03OcJi8GJugyGV9GTNEFmHp4s/Yu
sPBLh4tzWmKhhnZbDCVZgESYUf/Mu7iPd9rgXoWL+3rAhu1gx0ajeQgWf7bEqC0oz/ElsFPIFhe3
zBWEOXzd0eLwbhavd7G4vqFmkJNtxMxZmcVOWMPNQRfrXJVqBRP1Nk5sj5gTeRFgKC8XZzl7sAg3
gPapjgzY7LjP7RDmQtPgdsCYnjrldYlRXcMivCbb9DFxh9dk8bKrMTupxd0+jN0pwHVhY3vHQns1
LT54A0N8tTjj+6RCI6JjzXfhf+Cdx2AfrgltFaueXrtgfbMGjgchK9swF7+TXmpSzVpvgE+brVq8
+abbnZLFrU9T6fAfjltEWUdrcfT3MeF3MSZ/TECcz3SzkPtXqRbfYYB8rkECGDV/hr1ugBaQmvyq
dXyDzQISkBAFchG+JZ63tyENlBp/G8Ae6AZcyLAIciPa/VtPfqsnqfH+up68eG7bt1/tZ3jVh3qS
CAwGvFRstG6LjvfP2a/4zVz+2EUk+kfUxR/1JH41RlQLyUu3mA5D5vpPPemRAUrsGBBV/pKy8h9p
sMja+LmetIFwW2RxGLqFCsv7SYM19N4SLOeoq4lZqvSjIUgwZEhM+OEUE8xpBKduTkPTn5JhSB/I
tsGaylop7g7VHC+IdmdOL1p0/7OfjEZHKaaqooQ/WZiO/TqiBV3qhiaYCSlsaJnZUqMjEaH37um5
6O4I18OohbLFCjYBtHvu46pUTgPmd1mB1E5ozGBKU8WNMpdovVeyD0fh50bYzL4lBc7chafArjQV
u14HZbxrhtCy7zMBlXQLiZAUCEEDWzhWt68ok/ajOfXJuzLdcRsmbJz9MExQjkOG1fcRrJajFrjZ
S4ypd+NxLoLar6bB1zL260MO7NqLkMTquYbxhxX/y2Cz9J7nHEOHPmkRzT4gbHuK3h2lkU9VuO9M
zqxVlxNkLCv+rtISrLhDj6EfkdMpCsF1uEuTHsY8QJDLUjY1GiNmKVO6/i6FnIXmctXwkGSkjtSM
cCp9T6YBcy1A0M/CXVbJcxkeq0bLrq0JcRvMcm/nVsVbKmd7Z2YkfmHrtXZt2cW+Dhqf4gW+v2X3
2XWqY7Ii+grd9EBSc10r39Ugloau+RbBF9gzQ+eyWIK38tDioClDwqwc7aVKYeg6c9avmda4u4h4
NKkCItiICOU0Z5C4UQ0MxqwjWaMs85aMQj3ZGFqUnPmeaQNKp0TaM6xjEo82qBUZIUg13XheYO+U
V+Z+uwBayyX2ymwsd6X6AHTDTFRs7pqfsyI1aKMpOJrG0knYpuKkrwH6WFHI9NhEdiDh6ht8XYhj
Q9XdyJgJ1zyJGk/ihOeKJTclvO6NfktGwoKsqPxRSHIyc0COwVike5HBgGDNl+//PTa/HZvoZ/7m
2Czb//P/ivAte/vV3oyX/nl2sttmUM9Y22Bf8gPNENWQRyduW9/yFRcb8Pde3PoN6SqyV5f1E0Mt
Gu4/e3Hj97U3x6oNxQ7M9D9KEGKR8EMnDtZa15c1Ap0/Z7i+/P0HQ0jiSsZXhZdc9rk/2xKU786q
Hz98MNffFuUfzb5YiH7xLuj7cToTN8/4gI/n47vU5GyxwbaTy65M4mxTujpZfx50gXVAoKGfmG2D
0MMQFzJ0CzA9UbLO5uA0MM6+1avoJotBzNpRfKF0nVm80Oy1cHtsgiLW13oYHZSRH/ohOseDt696
caHP6qadjHM9l6exMa/Y2B/1JMWxRhD7KtFrKO/L8RL04E5iw/sqRgySVPL8ZZeOzMn695htOqxB
BxYCgkd42wGvHyWKzAkgonNU2pzvAjXKTafRZSWegWion3lqpF2Ba8GwHgLTkzuZ2eYXI4fHqDGT
2cV6Gjl+1NdV5pdTnT6WpcBztkTd70MP/tdBmEBdmFS6l87UTozOQJjBGADhv+rMynQfZqMmD682
sl2jzY69E6XCnwfPm4cuyU123k2kV8MNv3JrQzvz9StmAoBaF9NiuRTcTO82DtpJHgLIGBrpxnsz
s9Jjj3zHveb9WvOLPYWyPRlTSTWMNfi2lI09XkcC6EQdTt7Jaxx5xNgaPuExsR4HSXqgm02I5LuC
tslFtNWsEUyree/yRCZyT7XefVm6gCbRBPjwD62NUY0RjSD9VB2G02Ew7AGxcy/9js/8ApxX+9yy
uBkngC/T6Borr44PGg5THx0J+1WQ2be4lI+JTmCtVwrvFkmTWDEYhSo0ecjgKvj9Y2oR3iDQa8SP
bm4PF/zqho1TM3NpOhazLcIPNkhjfHQgafuSEfSu6zKxLrzAumyjgYZiqtudYw57ZRX4aUejvUEA
KnjC5Oe4yM7wxYot850bq7QJfugJmnayfRmDoA5N/br11F0n5HCPy9J9x9rNrindOGp03su439h5
u0mDWnzStX5LxwvDukx9T2NQ4TIBJpxp1TrV17bt3oq4eZuS6YE17qYxh6M35lsOECwt846c3/Pk
Dhs6rD2ymIsZ53LYDC+63bMS0rYZib5mA4ivn14hT/Dceg30XmyUk5k8xVGip/bwZDvxSzY7lu+0
aXtkGxCuNDVfED96MEPj7BCdqvr0qeLX13aIxclO8klN30JQ3vf6TK/a+mEO4rzW65UJ2hCYcaEf
EhtehpgYLkt5zc94a8Mh3ozxHLL7CUCUDXp8plcFyhQYN12GzlXV3Sk0Ri5meINZPaJ3DXg2uvl0
8riJ9FJCsmwITXAv3Mq8sMbyUZu7dUqr0hvhTVFXF2gO14PhXeT9cBN5bJ4MwhkCZhJhOBJJRBxR
QrTEum/K32OBLlMt/VKm4kvFMCBu01OZucekFzezEpsMnluZZWc66HWd1dNplpJajCLBZZ5Sp3Lf
k4DmNWw5IhrqaVZHt5ynQz0TVg1fk643IGQkKrLNFIKctkcz3dVetQtazMLzpNXbvz95f+GuEi7C
qd+pEXiR+OePJ280CSZATsa4sk4Nn+RlskoHwnFzyJcXXW6qjRyADZakjOXV/Caqur2p61T/5M4u
2d3jeNs3yYU+BpvUk4/62O3qyHkv0iRkeoZnHbo7MP4l9mLmms6WrK7AbteKghR/A8pQ6XZ7iGAv
UFL7dZy0DwaDEx/vLDBu5kqrrFiret2OB1GlbLuCYieSZmeABc8IrSNB+uuU5XcgFI49c9i5zY51
D7qkKi/c1vB2nZoAQE3x3hgje90CM3cCSFIR4b0hs+dNq7e31tSLdRU5Rz3yuK/RN4FTENiqm/E+
iQcy6B3WicZkXFnxXKxrh+SYMU7PQzVfRm1ySJW9s/F64yuoafpTxnQuVMLcDbdICH07rC6YFg5A
VYyrOFOnrM/3PNegKlSAPsupZeTQXKVJdotRlpUWro2NU2gxyTUUe01zHZvtsMlJ7KH+S+4tAo5p
MOJnD/pojAyflV1FKPy8TdN6ATPuRJWjhxVPST5tchOWuWftFeeQ2ZZfS09e6LU+YNLSvgbCmVcV
iSgsdkZyS3Jx0KrlLOsuYul8NvRsq+v096DjnkhOEeuknVL0weGVOdtiA/xo4e4mpKLlSf9QmqQK
ohxpGMWr/PD3lyrKop8LEQfbO2xnUJ+utXBPPpYICSgi9MA5jMQ+3pjJkdH76u/f4UeJEF/SlLSJ
7NRhUaFJWvSHH9/BdDATEpYVXmYOQW7OFXOdfVzdNopo5yZbx6RJe4n/9+9JA/rDz/Xf77r83B8K
rL5Ku8oyNe2sT8UdPkjED/wfnoqf6e6mFTG8ybpz7UcnMA9DDw+aiQ1pZIVaAJNxuS6a+XOpyYu4
I/8aasU285R4cSNLbnI9uXfcXG3CdDrJzHpygnQ8isx0eq6movT7WRa+W2nkZVd46mUxTYd+lOZL
WSTdFlGE6cdx/Jpxrfq1TtQ9J/DEasTR17TUd72VzSyOGe+Fg3HIQ8AsU/eVJeOeh9Kntmm2TqvI
jLeTvalHGsIFKpRMFcVumnt9XQPq3DTKpoWKx1sjKnAnxuSKmKGzAht34qJ/r1tlrNoqPjSWRkar
9WmcATzo6dHuShbwCxcpDojDS7oYHmVvH9I5OaE02BRTYGzMjLm/GaScsvrjsAxY4yQ/u9G4Kxrl
D8HMFaz7aRfm7IqqTZnk7qqaExKJs+Bcwc+FsrQXpTOv3XC8QylJAVdpOFTARJsmmX+z7HZaFWMO
7ctnJ6zPjZ7f1Ag4kR53q1YcBxvE3mCbJMi6nIjYYYoJV07AomBo+svK4RkJk/pAX/fm4oMhcdZl
rG3twsq6kCpb/4/L7X9d40sh/uFqUxYlhgGi65xcFNfhpbatT/WD2s0He+9cuDx61q+GWrH0PhMG
ffr7N18C4T/cwt8vdVRuCAQNiV72xzdHwekWKciqc7WxV8WFsa62mHXESXuUW93X76+09cXj4CfI
cp75n+xyutBXx3gbXJoER/+P7+bHxubbN2OyBMXk59BG2T9pdiddMZQVSXQZ6ddg2Fax/tgM31rf
1/H/hm9MTrMpLIuPjc2PZ9Z/v8ey5vzwac9N3mtRlEU8XN/CZu9NN3//if7yZ5BoqOQyR2PE9ePX
z0dnRtRR8/DWrmuP+8Gm5vx2Qv3rPrX4NP+6fb+jdsMn0v/3Hn153ffeHYOpxfZ6KZycP1ykf849
TRL7PArrRetGRBQ3w/e5pwGMy2OzvfhPl4zf/8w94XSB1BJADS3iAcVC9/oHWjssqz/ccQjT6aaZ
AXCdm5bDt/LTBSKCvu3Thi3A2OhyWwyW4nENXYTEoD0bY0LQJjyamPP0K34I/aRTAXCOkmRyQFlX
fkZk0p4dd+lGTLO+S3rH2ttj316qNKi+VkSO0r0O8UWUAeFcuJ/xuvI0uNi50MbrFuP4VZ0k1pOm
07KIgJtxHQQi28xFUFymYeV9Re92O42ZzfZEaEcDNvludgkf7NzJfsoG2dwpg+akayN5SPtl5Cp7
DXS3jUfU7PUOJXxrvLEszj7belbsIbrD7a6C9nnAK+xHzHB9JOJqJxMF2ikaqhuVFOjPIb6GcVht
BlJ08EhqhTW8lkS4WydBV8maAgg90Pm567U3lFDLQcG2j7Vh0BbNlYwqtEvoVqK7KPGWvWMP7Wvu
kOWrS0zlpbPSQysaLai2ypVIF4ZKaRvbCLP45GiFxlShz6YXvFE1nG/lbb06GJ8clpXPgEpsNGPY
ELdh5NjHCbXbXafK+dm0bZvgIyPWT6FiOBuHDD+DaghfuJJiNuLz/By00fzmxOPnhm6hCOOjtsQe
5cIBwmg31R5+WQg+WPTTLsVlcwoF+5W0HDmTOxbsqzEv4QzFKoy3LfQcevkhJ38rrR9JDcwOAGvu
zbSOaGtqqhNdDSvbbbq9k7TOnRtV+aHTOu++0mvncvRqnZFu6aGx6uzyU4Dn6q2lx3jRpNKOZsYU
oxpzKDOCVrUbCFTWtHb04bbUHdyouHqXqCUPUxUUqKjdxRA7O1/CWcjN7AFNI+A5uZCJlZxb/GNP
gkhDBFNyumjTuXya+1E7cfGSACmXDWHYBJ+Bo6v7gnLOh7oc32nxWF1HA2ysguqQTtWyEIW2rSWI
tPeijmgLu6VDnpRcApScvTEYb56DeDAzj3JUJrjiht6b9a94A+MLepfcgpVXtcQXoWL7VqH+exYv
1py/PovPzzDm/vsgXl7050G8iJ5xH9AgMErlBP2wgEL0bOB5dGwIOosx4c+DGGWzaehIoS18AX9I
pb8LmuRvC97QYrpKN2AxmPwnBzEK5p8PYgwObMgsllB8F3zBH5/ULnNa2PEEMJt59FBz5a8zynyw
yTW195xv3drZCdaY9qRR4HsPAKO4qnqoZLnnfEpcAq3K7pAniQ/8Kmg3UpID4sdMJu6zJf6yNPSb
UCuaQ8cqngMwS7QXHOfsWQoBbeAkgyEfoc3pmIkzmezbjglH3if9jY52Emq1c6fSpc4lioOIQLYI
hbmpojlFjVB+mibtAdrVvck5u9INVAF6g8JFm0gTc488ljZkO7w2swmgq1CrkCi4KjGuWUw/GENb
kBDPbjfolo4ZK3ofFO9Tg4MxIl4wsNB+Gg2dhm2MV10jnusMuYo9mP0GlsjXWuXzptMZ/3ij64d6
Bxu+jMQ2xU+LnVCzpoMaS22NyvQkenllkrrXi+g093KNJ0uiko2YLxnDqRmqx0j3njSs5cwhTXJD
W7+zIZLFuAWbZL7vGrUdelFdikChVijfDV1Qpse3Xr9oogieq8L8IPLpIW37k1YO73qDKErXJrk2
TLNHKDsMZNqlHWG36b5uNazgkbOGF25sAoPq3qYEvjLYs7GVqWnlOnL8IjKru4WqWyYMLHN2a76b
pjNR9mR94Td7jabwWJgIo7sg0VeE7awL12Bnbu77vrkKMiApJn0Z9timrtj/OX2+62ywgyt4/Aez
a9Zta5+7EdqMWRrGOiqGrUWMagpdLM1GAl16pEfF+Bw6JcZ31BBlRmwpyAoQwUhcI1N71htAn81A
+IpIGcwgbQeYgxOdD9Z3dWJdjD5ySGg0IfoVzV3UMhY1uhypqhEymZUkLs5Nv4+GEVaCk1kIIeTG
RS+2Y87REQPP46JniC8166DV7QPLjb3eGw9q6MQ6jFp907WGoA8wkgsWrwiM8K36kQ2RKhjIpClG
YgiAXQa7SQj9shpN4wYAJQqpdNh5JLmj8z/maRvANzaeaQlsRNFTfCVNg8gdvL+Tm2/7rlUMIONs
baviZWrLrTHEn8sQdrIHci8kSHGdZFN2RU24goGw+3Co/aJbWM6A/7gI6UDYTfMEp47H9YRxcVli
f+gWKnMElax54irL71Prq21v/ucQ5Rdv4aH3xB/y/9k7k+W2kTZr38ofvccXGBPAojcER5EUqXnY
IGRbxjzPuPr/SdUkqdx2V69rU1EVLhkiCSIz33POc3hGAnv7tB+cymBs4kiYp6T50iXnqbzN3X+r
wX8LyOls03+yRr3m34qv0Y+qy+QPvlunSIpSwgMnRrA354/+PDCY0pNLxAsINx+PHHD9cWCQ9F6d
lKnLfclOXp4l/lin4ApwglV/5/3+g8OCJT4dz7n/LEO3Md6SxHMh8n2af9nETxz8BspJU1IPCgcW
S3N+9Qdkm8Sicawz1DUj+nU9BVlKLUhZX7t1plzpdq8YfMeL3IZR4zJDcTGoL7tGqx/w6tnTV0tx
WjLgfrbQpdM9Bgu+aHRn3gTNwL+xDm8AsJPalC55cnbjqi8Vd11joc/LRP0aVLjqK30s14V02g8d
nv9euu/bgv/XkI78LtHr5/LNpS/9+jMgu4shty/iGCTugDsCSDuTJGz+nU7B2Kiri14mAHjS4UWQ
TzHCAZz3XXxK1ip0zf7SkQmCrI6DFcc8YwMvhnCeTBrUCcMdkHwLYwKm6WDdWOgymTAzLdfbsTnH
NI9gdWrTp14mGTTtITJpKAP0cxlVQbhkq3AVzy0li8QgJjVmPRqAqeA9biJKOBzWfrOleMqRKQpb
5ilawFwX+VvGQqYtcA+qq+YtgkEp77BwZC6jL5G/+FiUE+Agag2Jb9CkZXgtZRKVTHYkfTFezTLt
kTdmcjUSAClkEsSVmRD/LR6SzHO0VpQl2SQoJqBgYxkkqWWkZH5Ll4yj6SwxjJI5iUPShgsyif4N
PXTlpn9DjXNj57u87vtN1pAG8YXiHCMTxsMChsoxAabp5Eet6vwrrQuf0hDcapiLl6BmZD2AEFux
LXtKtDagKbT8rrrQ2VslOKR+CFw4nk4pogDc4ux7OFtLZoXtaSKCA0nJtD2zdhKKWCAgKb3Y1X1l
X+gWq2gfTxzTCFDoWbYxQ/7h1rgdR6ujrHOSeeqoI6lpLVq986NF3Q+6eeytUrmYDJsMELaSs/XG
n64ZIrLBHy3D0xv4CGWctgfCjViuudHgy0DHrSur2guzKJZKUeAxZoKJ2tFt4G88y2WvVVnCJ7JK
F8NI+UnaB9raMn2HJr5srWTuN11paA7Iroquu/PhBDWlzbBbV8pLquumnS6D0UExbxWL7UPGUn+r
0qG7cpzXVhn3UYoqYNqHKYRUY8fhphonMErzmtd8cqb8YGXZ89wre0uLDlmIDy/qLP+YO1hrM7BK
6y4MbsJpDMBmp7s67rdJxYfkhPZFOdAwoMS2v8Cf+xJ09CS1IjqNfQGGOGcApbR9BlONFiGR7tzW
Wjk1jK8aPwuSGdGT74Jjatdm65r4OmdKT+1ZZQOd/SJLb0j9pg0ThI5CKt0oFAhbhsNYFe+cVD3p
ZncHhtihZ8AtBMkAV1z4zvy9rLRra+52NuxVI8tWoqUTgQppescSDzvXSyiMjaj7VROgNMaWc26S
/Nop9G9uwnc4S43X1p2uTQ7cS0hKx6miITgxvZLPGFWDQBlSEPKN11OdhIKVfcVRczvI+1FL4l3d
hWfwXqcMfDXJup0/Fls7KzwepImXWuoVdV60mEyejtCX+91ScXB9zcoGru/WZpJOq/tWNONasaRA
pkdfhSPbGTmpk/FKQns1lcUpL1VnlavFBhwLckQXnPWWyFEfbEfVWXJkP2DLX09phG0SkFUyehVf
Ebx6nl9rS445nt+mr3X6WvjdNY003JEq3WhsYwYa/yp0MNrqNZNrsF00fcpaQI02rVibvYWndLw2
R/c2jWedClQiR3TxbDKz9lzf5Q70qZ+y1bXjZt8nhpE84dbkFryGfjbhEIYLmnDH/nUL6/NR1Vq6
lpwbIcpHJ2yuAxp9u+xbPpWvlQpqFj/XwjYgk4ly3fiUfAUmQ5wJHHN4ZYAgLHrjWvfJYyiUFNbq
QoXCWKrqVnH7rdMoazVMb2JKXFpLu6v5TW3ovAthlStfAS+idmu+ipeN66w1o7kw/IkLVit6Hkdv
zJtlUfk54Br9K62Zj/xVBDVIPk8NTCe+SXDNwsEDhPPS5A2bcGUP/HA3KzY+DcoP+zoBYcsiEZZ+
RUfPxGZa2Bu97R+yLn9uCWpOpb0jY4NFjcBk0dbb3LF2KiOXxWy5CJv941CrD0UdXxeKhu94pASq
471zV0Hebu3W4u60yXr3V6Ad9iViZK90N2lkb53RP/myR8TMLnpfO4YFQkLewUhOpzNsRCy8A1xv
5yqu3YOhjU+lQGSuOZPornPn1+KqqZtT3ljXxA5V5kPNTccOtC8xztdzt8it9JBaAXiUSl0MJEpq
+aCai8cpafd6DfSrBG7O6Sw2Bq8Z5KYnx1ic39XldKHpxV7RKRCiUsr/guUyvWHGArpLby9qJJp5
GDgLJSw88Tf8+Xdxm+H9RVFduHb7ZOLX0ImbxwXx00j7JjL2+231mNThDsjwiectVr864QDd7EGb
8b2kI8ybVe0ptJpy7RrJbVa3cILGZJMY2jlOnJgQIGelYjAABdlbPxHeoCvZKpoLuoDwgwcDlSOT
LttN6HfJz8QMNrE/Xoz59K1UMKdQ4tQCPpKZfL4BDamM3l51XbCqmSV6hCFw+XRelrJIkBze9orz
re+tNaSdTdDba8DhK84xPH8afOnBOK/HLN9PbbCvW+uWtA+mopb+EqaKbZTQPM/AjH5w7nWc1pRn
1lqxS5X2OCvDU1OXX1Gc0doblyj+eOxNDnGZyvL3bkv7vzqhWIg3uiD5IeWbz5pJO9R13UW5clIz
oifJokiuFSzcP7+IFHI/HoPkRRiqqwYZSzxuH49BpKZUQXBNOY3Ol5r4Rvc0FoQOlxnO0Z9f6Ucb
3vdX+iQpF34xabPPlXQKJMxpUdoUP8y7QtzH3XNUiF+Ib38/fPHC+DYxlEdZYiD18YXppFEcPy2C
c688t92+Cr7m6dd//orYLbNZ5jKM/D9dwhcEdF36zs+0HMTDppumVUqRVRZsIuYtevsLXPgPXpGp
yQoQTqwcKMWnE4NMMOmT2kZn6CGLyMCKCoAm+cVr+iSiyWPJh4t8EsgbX2kt4XORuK4XbX1gLrv8
+bv2q5ch//zdwbtv57aviUifSWwJrBQJo2rSXz+/CGPGz7f1h5fx6aMpkykp+6yJzqNCtZHludEZ
1g8PuCcLT0pz0rvmF1f80csiOUjqGw3Kwpv/8WUlkZNFeaxFZ7u6qpiCl3SS+N9//qp+dA0c/MIU
BvcB2OeP1/CpnhROX8fnvAlXGV1sORP49O7nF/nRWwdrmjEMiDNbdz9dpBhC244iqiDq8ikXh5CT
YszDwPURpPYmDujBv/r5FeU99ekZxCPuryt++rAwXWDS0iYSkozHgJggJf3iYaB9fOdkqsHSbHIP
9JQhzaHhfnznmsLEXj9q2Tk+MLXdsXgewSKsrKvw2vLoRFnTcbD++av6eEk5YOIdfPeqPl2S7Gs2
4hiPz73AlUGbuA4wSS+2P7/Kj987k7eEldMS1qdPS8yasFusJ2e/cj2dMJzT/uK9k+/+50+H5DJ3
m8s0ixHdx7euBNRDPliJzzZH38nR2W0+RyZdkXH8i9fyo3fs/ZU+PeCYqha1Zov4rFmvoXNl+TfV
/IvH248vgTSrubi8Cb18fDGRlvSOOQfJOc9PFnaIMdIXeid+sdT96CvEzfbnVT599Endh+0UcJUo
+ZrSyWooq9pcW0nnJe1ZSTap9YvP6G8vi6QN1GNANCxFCB6f7BVQ92ya3or03Pabqn4exKqar//h
jfbpEszS3j+28z7gDQ2r9ExLNtVuoMXi3wW3/62BQ/Zh8Cpk2h38jcuc7eMl4nHMlJST1rlJvyrz
Tgy/l0L+jxf4263MBRycA3xPGLyhf3+8AI9Oe9DyOTuzz8s6IuvxLsI/nbuvb+/Vv8qhzkfyk6ks
ymFZNC9/Fw/lz/0xlIWGYKgwwomnoSFCSX03lFX/Qy+F8ZuoyOPsz5msYf+HKa2mMX0F6v2Wsvhz
JmuTa6OkmbyEYZq2RCj8g7ks+2vugb8ed5g4MBJhToTWYLBWMLf/eI/EtZLo9qyHp0wFD3IM0dKf
R00NHTpY8zw4FyRoL+auEs8iNAdsRkoOE2cYORkwZmnu3dAsblw3smYOZ91AjWputw+N0WEPAXdt
r0TIBNKMlPtRRxIag9n0Ul1PPH0UZwemZhdop66nmiOdXoZgftFD30T/uBaNk1GCrW70NIuQtcjz
a4lYjT2taEp9gV+OVoOG2SIWc2jh6vSSVDUGv4HHNvZrWTZLueKEkdgDsChrYkdZFe4srM7dmQHb
vX6gIioT10whrrNIaMvEwO/rj5ezUwdLt0ctzKub0tCfQyc2FgWz0HWexx1l4/O8cSI380gnsL8y
retY2IfeaR71jFIFkacHyp8whCTEyH2dtvLGhllbB7B0htLxyjm57qvyrjLn8mjUPSf0nBBvLZFG
NdVpNL9LCk4KcKg1iCiMeZAegJ2DdSsfYRv2XqOpJdzr+nVu6onj5piunKbbpk28Yaq51Uhfl7Yd
E3B2PdMEVero+ppoK6SgmPcAmOLgBcyPt1HOv5n9yCHcLe7zMPlGzPbKMSkoK9OvWhLeiqIl+tHG
5sG3/B0T4KuolEWjlh16ELP8RQAeNZC0tiI1r0Mhbs2afgXcjd9Eke8hul+Xk4N5XnXwQOQ2I5W+
iCFYj/scGaCVLg+zyDdppOCJN7vZa7Uegk5+H4sGrzLPxTVJ7JUo2xtcEoOnDGizeG/WZmX3l52E
PNhTgwhQm7s2Edk9IYtxWSfd1dwzxreM8DJnHkafsQqvYuru6in+4vcDrsQQl5JlqmvqUB9QVB5t
P/B0ZOI0YwMzyl9D7a+VCVqsP5/SJCLrr69d/8zNWlzSmHxI3eQ8T+I5EnAFcgqk1vUYAScg/g50
coLjzW2nWfGh0AskyZpfXHEeFBvCRmsNkafFI+zvWhaMJZdWmZ0Mt97TW3juGxgHnBywUtvmWjGq
Z7o+l6Gl32VtGixEwcC0F6cpwg8FUmivuBjp+wpJ329umcJ/Ecp4rEX3yjzrFjr7jp3GIe4TbaeG
NmC+1G08q+BzIJP3LdVQCPSZQKIzpqB3cnHixUuXSfhY1bDPNDU76b52xjy6rtzki6L4niOtN3YI
oSczsrOsESKyjRkga/OHUDCvRczUF4qap3uF6ifPkp3WviqEZ2fZCwnHZNVO6ZXW+I+pUkwex1tm
l5jJXWc+pHl77DRmnJ35NIjsBY2fyR4XHfSruIyWqU+fNrXQTapuTMPcGiVtJrQwHjscF9SWO/l6
SvKlqUt2swbJzAovqDEw9hENAVcN1XXNxdhrMiaR93QAGjO044rcSuw8dFmeMgLPNJAAZAbWVaq2
6A389kHO3L0cTf08TuYFmoZ2GfLF8vjMrVNuoxdbPXRWGAzjw1yBogdRn+6xEFmblrcA75GSbjVI
UQvKZmyD2aXPOKwXbbhtFYMsLD7llDmeqq2V2P999vHvMq2zcv5kmS7y9pVU0g+WaX7uj2Ua0i/S
Kbtkdv3S0MjB40/tVPuPtDnSwCXE70nyP4KS4j+uBj+AXRxnH/62P4TTN7yoy2lIrtBsjK1/skhT
J/J5kQZPYGDmdAwJX8SL9HGRzkow4pPmiMvMmPs1FF5zWaj2kw39srC7B4gKd8l85U/U8lbaSoeV
2bXBnS/hmWhMBoUHybKCq8kTAMamMSR3mYRuahK/OcHhFC2aJyaGXQmhUw2AsZddgRxbA96TGE+s
Ks+KBHtqEvFpSNhnLLGfM/zPIYIc5wf1RS5bzWNZb86EPKfufGaKnpb0nw9R9TJRiO6GxksttMdR
NqWjpBzBKdCdLlvUS+rUuw5p0pIN65PqPEcAI/Y5gL+VNkDgUylkp3nvWZUN7SZV7T6ZatTMeTtT
4t5T5u7SHToJ+8atNwl59MrFw2/Fw10XRk9OpGwHSuEb2Q5v6+XSbUwvozleiwkPpdPlSKO8XHoq
WTHvR+G3godL0FI+X4nh0pVP2SLSd2axRl9e0CRBtvBGWvJRmtrkqZJd9vyKm0a227N+LVPZd99a
pJ6TWGcGbvqLwmqabS/c3PMHg3mvchBZMWyLlhJQP+pWQxGjVIkD3JJ5bQJhkvXN24rC35oJ7bLV
G1aPWt3UYqY1r+/Ok+NSw43Oovp9vglztKYIOTbNuV6KRGIFwBXt+os6TxFZJIYbNI0WzJZH4bsS
BXRgCn6iNPAyK82liAmOA545DEFIfMpe2hbh8tZEuUpVCwyHfH4HqFGeGHr4aglBodSm6goQXwbE
ja7ZKXKROTMwKq39gsK5g4jUrrsGoQgfk9TnrwZbNJ6tsWuqDACFceWZVXyda1m8DPnklNK4s8iQ
V1SKrjjPOodK0bALF8cypj80G+/DpvlCegIvzTD5y1kIEE8Qrb2pBlCSxO2un1p6N4m2dhHL7Qw6
wovC7MpvTINO03ELMaFY1wH4IRbugS7JnaFH1HHYCIh4ioqyPJl1yC5O3VCugoSGFkeABeErNW7i
OX8m97tvteFYzISZENovwAUdVNihekaqMVXLndM7X2II+W4YgLzS04UgsjI00U3ZKXfMfndqXlx0
pDIoAdslYAtZJZ/zJr0TScWbOg8H06j39IMcux6/FwLSVZr1G0yrB7MTYGGGbekWO02esidziyZ2
EZjoh/Vk7EsyYEOjnlUcxeturpd+0D4ONpzOxpzXUU0jVScrbWb7onb1aysq90nUb81k6niFWbfD
NXwy1foYlDbKYI9rAPc1PoSbpmgegrza03527EJzGQbTda6m7Oz40idpuGan9hAk9sYKim0mImcH
AGkj+kEi/tqjkbuR59jGlYmQiX/lKlN6No9q5YVdvYNN+aiOZFIcNU2Xrt5d0yB/6MBQLMg5hvSa
ZI+s31u7672SihWA4orXofYbqXieHXczKMOqdYd1GvVPOW6wxlK/z03QgSDTVzObjEhlXrawZyXP
rukoRpxzhlRfO4XFs280jAsoWyRyRbp3g+7ADm4HKLkFr+nuKYA+mX2694NpWKAUHQcfIlfk5l/6
qCXYUqeX9O1uqsK9rEknsksZ11mlaqvI0u4jrTuMRJSNRMH7F9/M8iPkUPilBDqJKRxG0LDXAuVh
VPuToWmXagK8R8i21Wl40RWMk1EZoBRX5bJq+SxqzVrnXRBtKid7Lg3jOLlZi5BTb5Mi3iQ5RUXU
7dwj/15UTb8IQyhdjXLVc8TxdPOW1l+CV/OXOLVvZqsNDrlVlTs18K/LLD8q0sXpV+nKnK1nrRQb
aioWpsFmOW4J5Q71qG8T2qJ1PXhNJsJiDGXV/YQtmuOsvta00lqrkbGxK+CM3BQlBz00aRGo2ybr
Hpshuqny+TB1wa1fN9tcmQMShs59PkQbXvMt2NaHtgr73WiekwRdTu09PRbQKLJxY5kFbTnBbaTO
zdIR/VYhI9bOzq5uBGVx2rYOXN4a7USPc74IUX/7Tr+BY+2sVA00tlMPyaLXYJEa4tikrPertFF0
/NpDFd1bWdTy8Bf2Xs8xamRO2q/DSsDywIkSOT3fzvlQYTlaYMuuSdKV23qcNnaQu2eOHA5uiT5f
zQr7f72njTro2fv3VLb3gK9MkcdrVhgMKRzvodCn3sjh1YKD64fwpMYU+2PRu/1FnI705inT97zG
k863eJFMJPOMuNYIT+BTtdL0oS8CHXiuoEmL3NNaCxtbWWSxIByWBQf8DeUpr7T2MdZsTm/WXCvr
zhmsq2aAQps6M0ajITUhFPYElVblMBOb0JQDXqYLMp9n3UnW5hivbH2+B6F8HVTEGyodH5aRe3oK
BTTXqkd/sGIpZq5qrSFWlYybzmRXb7Ttlz4GZ5I4T6ZvHPsBYw17dkLQ69a30HKaW1T1aenY4QtP
1nsw4FucYCfVGl/92NhD94IZHKK7RgalyQrQ9Nna21F2BOVgeMLOwA4i6Jao0R1LdD3hzhC1f4pV
a5kmxXVL/AZ0yryjUvlgjdFWq4mbJ+Uuc8mfFWpCxQBWXvp2r9whu2lxQvfFRJw1z29zMoRepiR7
NRp2qqocYdJ7bIU2+ljtWt+ljoCeGLvagw58EKaxT3O6vg1WWsMhL19+9WMwPklwNfrsFCbMAbMf
rmqO8lbVvmahe1By6ku46UZ4CJ2bfoV9ScCeupRCja5rnUoCPfJcM6ZNMoODNqo3TaJwGMwVxQP+
ALQuWBFYXfs9Uwrp2u3cBhirts06/ZF5LyXJ2ri2ACEbHDXYWlQLGAEVT/fkMTVo3wIYvBhqfeUm
jIS7ICWWG99Di9kYznxWe0gSSavdToO2NuLyodCEiveFMK7SR9/8uugpVh+6VRsal4OlXvqBAb24
FStmiyvTtzexG+3cSHXXQQBFI5lfy8m6bEtquXm+twehc7MExWDBhbQH9lKltvIn4ZwKrbjIzW5F
6J1Sxla9Sk3lkLaYepXAWDcNrjDfChmTkPTYhpN4sgasVy5PGoT08TCODv6XoXgYqasoFfGk67Sw
lFH1qOJpALXTrRPyIajevGrH17aufPRUuHT6gjKzoE5jzyqTY4lRKgmU+aTo9Z5Oo2qp46BZVnX2
nQMjjJ+p4mDJf03Q87W+ugnIedBIRqmljX1majvIB3LVtszHUeOLFqukM+sRM0s1mZdaEl1y2PfM
2Ax3djg3B2jP0vFrPJDfCS6G2r9ym/QJ05u5lV93sA/IUTmrOYN248kJGYOU5pU2jNHBNXK4/uUu
KNVbHUreXFgqrptuE6jFUs2SQxVQ9mabcHKt7HvnFPS/GfoqMJzbpC0uItiDSS/YZ8LJbfT2cdKq
a3eEnJyX9mWsBTCn43VqmxPw8vi+St0nczSuEaGLvWWQdOpwda/11nyiK3vnwhGg5yfKN3nPX6xU
2rrQIgZRpJ+2ccowoMFwCXPTzFTjZtRinWNEXSvmCnCHqcdeYghlpWuRP8f/TDCAyu0KVxALZY3H
56p+OkCRaVJHXc+jU1wy/86PzTwuXPPm3bHy/NvQ9H0g89O4/feLQBvBZI1r5i0v907pTXxYL7R8
Ryd12in5UQVjpZi37XD788t8ksB+u4zNUNFEcZP82o+HQZ/4H6cAlY27/n0o7hTjFz6MH/z9Nh4C
VcfHzdv1+b1qqFMpCpGlp3zgRts6PgPwP0/fP3ibfvT3M9bmHeKNkvbij79/YJOAM6wqOzmcO6yz
9btH/H9UPT4ZL/72/nz6rEF4aCEdh9EJxKGSeQkjOXtpMs57TePlz1/KDy4FwogYtYOZxKao5+NL
SZ0A1M9cJCc13mKKadVFCY7L9FiGwZT+/Fry1/5rUM+UHjXy/cfCtOG9IEVZY9bbIk1PJbUYDTs6
j68Wz9SpX//8Qj96Ue8v9OlF5Xbs4iX57UIGoEti6eGadUQuxeUv7jX5S39+Ua4040jsgqHrUll8
95UxrFwvWHhpajTWfvrSjyvL//rzl/Oj2+3dJT7fbnNjsVey1PyUOy+x/2Qq/4fbWYaubFMGwKy3
2c27l0CNpNWaCmWTMU9AA3Tv9H94eMn2DEG1Al8b0u0f36RcydnfC604zfbLYF92eMLU9hfPrh99
6NzENFaZEtwtowPvPwhQw/SukF88YTPE8MzsWbOu+npRlEuCVz//RH5wLUflZeia7Nti/vTxWqFP
gaAbWznlyexJVmAmQrgw1aJgj3X9dql/R57yJvjzobt8aV/+H13GHFovKTX+7/86vtZfX7/9YODJ
T70beKrUmnHDWvBIhM0fvRt46iZypUtSAz/Fu7AIwiQIdh08u6uRI3iLQv4x84TSTsTIRks0ECgY
ff6TmSdod+6Cvx4Nb8KkTb2yxnwGN5v52Q5oKDqnmCpJTppqtvWF20al6kUcVxTIy4lNhk4glXld
FVdXmp0sOyBsMBG2426n+vEml3huaY5vnXv85oSMo/6W0Wq9V8e0CB99SewVLeUcE5Y6L3vD+Sac
lKFYbkvdAskC9LdIptOopD1jNP3FR2L3oDjuS0DBuRhBi4AOHiGalZIl3DnjPVj1b6K0r0uj4C8w
5nIbjBaxP6fYmo171YIm7gt23lmcyTEh3OJyaJM7H5QxzY0oX+oEQGrUTrTNXg0ZnYtCEpADyUIe
a4fpYQm0MRm2vtCfTMlNHoqpI05MarIoqn6FzSnelkYGjqy2HY6XPmjkKnzsEkLPOdvbTUAj/WKW
EoMhxYbuTXcYpARBri5QF9WbMqFLkWKUckUYquUqkRJGI8UMynWCa7tF4BBS6iik6EG5k3WKpBAS
aEgiE9pIJUWSUMoluRRORAXLpJZiSvimq/RSYtHRWnwpuuRSfqG5BDSQlGQIE6LOxFKo8aVk45Q1
ntTMnZqA3yGvogvTVoS2cxMyL2tdHuknO9G+aJVhLilFXthgAY5h39Gz6wDbJ5oYUvWxMIN5rVoZ
8ye3HrxxKujAqZNXyP4PVZMcChXke2YPmxSis8eT8li7CtlvnRspi5ZWmV6PYX5R6vWTriSHeIBp
V+nZrQFWgMOQ89UEnKwH9mWejTCqw9ZO4OBPTJ8Mozeob7HCeD6y4coXKt2nSclg3TB7n7xNuOsy
H3Hcxw89okOusjn4Oo8YQny1KLABcyQppHhouXno0Vj0lUwM021YNR7A2GZphOOq09qlnU13wdiO
Syq6LBz8PXPRiSMIJUSXrRiypaNaQLGDLAJ2HAA15/+kH2YRYgK3sXZ6iSqbECw38ZzZ7DdTGPVL
dVQvbYvKwKSGID+VYNlUtd0zi+g98iH6KmKIslAz/VmMGgOUqbgZ7BF79TTgGM4be1GBE3Dhhi9w
Pbi0CtivmR98YywjhyBQteMJHhaWq84i4Dv1xHRUErZdM2WrQiOPgpXaXTvc+qpmBstcrVt6lRhd
cSQlqjIA3rGL5CJv2uL23/XjDS+qs+j+ZP2A1MU267clZfftv//r95AiP/TH8oGtRVZSuiwTFIXj
YvmwfLCTgDeqm79FCv/0tQBlZhcLXsuysNe9V8zecM0IW+Tlybvp6j+LxEvIycfFw5QLB4oZzbM0
jbwhQd9tyqqiMlsI/OG5otrc2VZv6GPLPmkwdbndgzcuMpV2A5DkrgRdC6FS0pMnyEr12nmjKg9C
EpZp493CETb8F5h8sboahjxV9giI9PFpxL6ow5wVJTibSR7RZF+ZYdl7WqePDBlma04jL21cBCXm
pLZB48ckaBTgqeYSNWJuZc/gvyKIF/Yb4yONLWVhjLAuGerXbkzfV8MaUA1pfQpMSQjpDHARqwB+
CvBh5iTqG0PEIkO8+ffW/+3W54Tws1s//0ERt87P/HnnQ28gyoqtTifaxCf9153Pl0JYPMEJjYAX
xxH5550PDYKtrqzAA7lr/wbi/WPjJDu6Mee5tNuwq6Jc759snCjb+3zvO3i6BCcG+jBt/Nnyz9/d
+82MsbSzOnGJxMW8mq1aSabKCStzqYy0C8+L2e9QrhQqTtOl08I1ISaaUcTQRcwcicWp6dHpIhVR
geVM2IHXwA0wCTl1LJ0rVFGdcOk8WCnbj5a42MPQUcuxnIHS0EqTAKktd41Za+XC7S0xXnWxjfDC
oTxY21aNbDPmDwALQBDSQ9JKT1bT9C0sGLVfUKORMZNUmrXfqbdxrh/rXMCqRR/0J/WaWD01GxoC
ROGXFL9k+7zyD8zC7idAbgBy8SOVZbbpyh0eHjJRAatGJOLIS2xKstORiWPkkH/pfKZ/AAMeMts9
ayqbhTQwFkrXJIuSxq8FnuqSiLxzUZPJ0eWSGnX9Y0s2c0Fn1z6LGDXD0Tg3RT6tB8EQTXQuhLW+
ahm7zuMyaclAgd2jbtoiyuOo+goQ6rQE50mBkNN/U8xxT5MERAlStl7ma9/GsSy8zmrWIIK3kUXK
LdPSQ+zopRfRTwctmPLeajiAXeq8PmKdnAvjRsG/VNmdvvYTn8E1dUY+PeI7HOCMN83iMtaL66oa
PDyz+wgxKRzZVvbyhGdTOd2lX8ypxGwW9svWwIySJtR/mmjPZXBh+tmqLh2aFRjZLEgfx5jSimTt
TDadOkZ7zBQcT0laA+kEWqsFwUOHQ46Mg0ubw8T0QBHBmccZIEe39bSqZWDfx4tKrR+CgsjsnFj7
adJu2mBcUfLdA5ul0DePr4O8P0SWsUzsqFsIMUc0h0zpogTCsK0TP/TU0T2zl7FXTmW8FqnWbDW8
mkBIiktLy9tNaODHMpI7TOT3WVxxkK1OSlgStXMTHcIOz1YnjekSyu4H21lKHHOnGk8qxoelzWa3
H9KbMbF2tKKg98g8ZugQrJiamE4cVQ/3ZUn20XBncPfD8JCzHi5jvX0Y/eFeM5tbs2HbCV5/k4fu
KW4sT4mJA1st5R+kAOkxGrzOTlD0Eg0iNdK10XY3SAfknmKNGfgU7ILGDLZVW113Yn4iTfpcWagI
Y0QhpRtHFR2CKBOm2t31ER4ALYGqXIjwQlGKC9V2X3JsjHCiKt3TC+2GDAfir3lbNupGMYrzgLyB
Hdy4kSPGpROq8DtG5RJE1REpX/Fog16PUUq23Gaeq00vWTCPWyoWt11fm7D8HNfLFSxWnDWKddvm
T3GOL3GSpOd0nJ29q05ULmkE0tS5PkQiWWfMx9e+Dp8D7rhYCAWxtplOmmaSHUWfLurqEtPiHTnJ
8AJoS7oS2viaRO41ZhN7IYzSJ3w3Uik0T9+HHo9h38Ox9QPd9EgLYKtsJKjXBl7pp90NPEpuHU6s
FAkqmATKaGJ2X1ieWYTbJBhfRNjmq1bk+WoULsax6qgp5mtCwhc8CWUDtazRsejTgYP3vaZfJyii
7QT7KX8r3gmrnS2reEo6edSach5nVGjo6jCUjrq5C+gqWMyyzEfT46MG0JcG+A2K6R4WOkFJf5+l
8S5s/z97Z7LcNpK17StCRWJGbkmCoyhqtuQNQpIlzPOcV/8/UP2utnv4Impfi47qsC2LoonMc96x
vg+i+rNb6oEot7qa6QtytOqhWgqEzJndSWBaJO6ac69ZioYoEPDdpXoooYOoWMqI3JFaooz0EXsp
KhoJN2ZPHp/kUmLUl9QdDEuxEXWNL9NSdTTReZT2vVjC/0uCbwzojjn6Zowf41KURNVp7BezdYqc
/GWaeUd1iQt07Axilsunr5o/syV7x8K1ENIoNKcuJksTq2lbvkvD+q4a8TnofBjQET5UUKTIWXVz
Y2cdRdsICLZ17t4MVJ5R9qczwY8aiefDNY7qO35UAhiii6JWcWtbS0jmoBkrRQ2Yy+W+iTxx6MsU
m3fgTQdrtO+NKniOXJJ1myz+yEd8qIE1IrlEtr9v0+HRLEjBxbmm0Cw3A3bdf6akrylp6bD+31PS
ffTadgCl/74hLF/1c04ivhCMn+Q0gzRCcmEYhv4CmEjNcgB28CaAnS8FLH+lkXzVtrAeUNltfS0C
f4nqiC9ECo8M7mt+4sv/lqjO/gJ+fwOYwGz5W9C92oxzjF+/z0ksDQLVKA4PQWYVu3TfrnRrfAJk
pxm11i5VhBWsVfGZUilk2TNrBNOE7ym93RCj/lH28RkE7YHJH1JRr7lETGy/LaIrUub3XtZvnS7w
c260ceS/cMqrUeOgN/WX1qZWLKZeCXU3MXD1a+QmZ5jDD4zg/ihNn1QKqES9OgOkvDsWp+gsUd61
JW7dOO/3SdXsGylPLQEipWFvFbQx1eMRsO0Aw1o+uuNwPRpRjy7KineRMl6zRmwNIZ4j6NCtGyDP
r+p83jV6FhJS5NEF7LRHe+o4yBitOkPbSxMnc5TcBwNmYRQypNpW023BDr5q6cFDlyvQ+VjixCpo
rJU3qo1WEPGo5e5FmtkPlq1qNxukCsZhynA1Bw+MD59ZRSSUKHjsizY5p+Smb+KQIgYEhhlFtq69
dqdyRtPt0Uk4HyO7KzYhvj/UdNoxh3wFTruNGhR3hSeP+qAhS7C7M1krD3XUY4mfbuMp1gggBsOa
83EnlIeln8QpYPpbMJx8ZXnyJUn0O4ZGDTF8CdiQmTnyQfNB5fELfdGbMSM+I/aIBTdjZFeogJJa
fC76vn2iJroD4n72o9ahSCYw0VtG36KE1x/ONDYoUIm1A3/bO6RJVYVp+czXH2WSHjQk7SM+AOyZ
YCmdTjFBzPcRU0s5MhncZQE2Oed3U4OFvaR7hqMVOjekxaYuSK3oZkLex4Svy0w6KvU8tXZ52V9o
Nvhm6wH/7m3PhTdxb+TVCwWLV4SxXTUxnLwW6iCCDlHillGgV6CignnRBHrpCIE3y2tGFfQttov3
m60zbONr0mNeAFhjNNCMMwjqNpNVoP/jhY4Ds4qeDftaFzeG0RJpMeb7VA9OTdgfYHofe23YlW1B
WkCJnJGoBiyjODXagSZMZ0QTlEUCQGp4VnVMcqPBiDTtyKlhRi4wGBROCZPKTzW7N2U9govK4d5L
s22Hrkldd8M50OLtLOQhnIqLbhc3xhDsafq4aL0jN8Oihl1ENT3MXF9GamOoBiUeRDQf0DigaCwK
VqxHvOX8pUVuE3PuGPl6XPRZuRg+qTGihj43Xd+olkeVWKsp4X4iacRNpp5WsDpZL90cO72wD5GO
DkGhC2tWBpPvyivktNPYuHx7MsljIN2BlmTP3DZsJOEUdceSgMltPlg/ehgkglHSH6U5PNeqfyfn
M/HLFpleaI43FC0RDRaTsTl3TudzHA0Uo/UF8gQUA92Js6feJF6FSGmqa0L5aIezC8RAW7OvHPtx
+Cp0iljI0OdQxhGOdUEGnztR/uT1SxGUV7CMsH+RdLi3PAo7Vo1J1sE1Urm5v/+zZGqUjWae+qkv
T6NdZNFzoyxjuKRdtS9DctSqBC6ntFJrG8foSyjTe9Wb8K4N6Aun1ORoWUW/bbRm2nmac7IBCDfs
sWQrZc57XZYtmhMHm1piPae4ftEdsyfoJHIezZIPc1qQgMIfp7LRLr9XgfUaJY2x6byEuVUxP1EN
TBxeKVZWAeovxFL11DXTmrSS88z4M8Uy2aaVdraK5lYL+lPuld+HePxUmrkeJ2bqVqfhIaxA/ltz
OkbzwSbFGeC/eo2RFDmURJHgY1Pp5+hUBXTjvTCS66BFz5PMRA0Zn0oX/C2h/ZkO+VMhWH7U0Zin
ZGPZDVXizV06cfSIiLIPmjyzUxa5Z5FmYiOncrE+HSLTbABEJ2dNNwiwj5FfO26qNiRqhb6gWNbg
xtyM6HI38dSflaCIwsY/wrtQkQGObKMtsSoAKnO2W9XGlbGLUoi9qQi0hy7dKDv8ZjSAtZ6VBJtI
g+/wUjnyzfHByFTuTSXpdJrIuDKJemRNncpLPlXkRJXjVeV1xsrzUGSGunsh2+WMvytfT1VwkcjC
KXvah3336shx9qnaup8zrfZVvrQ+Si4QOyFwqMeI3o/FtzIrj4nG/uP26rmnlBptHMaNtFPlCuOk
tm7K7qOV8pEDeiuq7CrNowWOMPdmUj7WA6WIsTuth1Ac6tG8GbzqTtrlW8xFx14rri0AaoI3g/VQ
WMEuUHqztkWDHnngSujoFDFs7MlRmh6kPXvkfRVr9ux619rxuCZP65LG/Q2TyLYwuqch1/fkCYG8
9wYfwN6a/FTkA5pCr95ISkF2WsjvuqjZNw6RgAi19J1j4KEjslcSVZNdwGCSled2R/bjBk25PLrt
9JihnfTnkkuQI4uSWhXutFFHUSadNTAfjVw8aYToGjeOjoxPa6tFBiYgugxqxAbSjlezWQdol82D
ZcU3FL88aZQobrXCK1Ycchxw9rhXucEjQTaR0QwKvZCZb5xyei/K8BtCjEtbuO/KMt8nR2zRnz+X
aUguYeWAB8SHIK+eRentYc7uR884mQm7Ic0la5FFRLOMr0tcW+8SXJuqY9jHtwpYYSU7cV9YyyFO
qThnfbT+Z+z+E5xkSv7fY/f1a/Vfhu6FOv1r6Cb+GwUSwiCiDCxSE34Zug2qwCCPQBjFEqiB1uKn
jcX7Axifwx33C/aSLy74Jzjp/aHbVBqSq7+QxcL9W12JpuCl/Q7ML14ZWF3IY/BOEil/H7qbus0t
m5KAS1W1ROkgHVs1EnaosudHPal3wcKjjXq9Car+TfQBxrqJrNrJOrV2kIGWaI9yqDfCns+2IuDG
Ju7LCEizE2F8cWghngOPgT7U18iuDb8mSiqd5Hk07asyL3deKPd9YiAUxRvqUbu4bsIiIWdsvHfs
st9iM/vQnIImQUlSx2CFZ9ehjkGjo2/l1bY/Gyy8+Ah3OY+GsAlurgzvya3MGwSdFxuSetU3xUAI
0pBRkDrvgonBd7blbZaE98RqrwsbuGW28cSGWSkgHKyPsQyTs1J99Vp0fJ/ZHnZKawiWpiEcnnPP
4iC2XNNI+bMxQuQei44EsOrYizBdZpMCw6srN2lUr+PMJuw7e+NJ3HQzL70a2l1fN6T8lLTSTIrl
3xUUU43pHn+vP4WdXNdttGmsTD9Qt3UyRRYfdbrAAzw8FL+Iah2kOEVSKork6NzXeuwQaNp0axxB
/BSysS5e5hyKEUihVMxTdmtnB7a/a4c0V7MounXbBd/b0HtINBKpYs3cW3PwgfqMM4op15NOvmmx
6hAXgQFWs6x9GQUtrGEuHvC4kLM12Qe0udPGCqs7WOg9OYHuOrKJfQtVW6/LuA3wzw+CiYG2siqR
2xiZp6+iePbrACzHDtP3Rkd4O9Q684imjDtZ6x4UTUrQK92ztMJHGw1KfjuMQqbIeIycQMGgODi9
Zu8hXMb1qHnpofLszeRaUDmWRZeY4Sa7rrSzet+0YRnce6OnHXUn+hFqJctikMqjqiKMnllzaOrw
ARsOqFxn7C2t6tboevw26m1/8BByDkV5Krzm3Lb5ZzlxT1hqRK4wPFctsn9A0KfeqCmJhxNYD0H1
jEdU+G6rrvpiuspzYa0bL7lVnUeje8kSO9pnQEAeCe2pG3WxtihDSwzoYCe0Li5seu8RDhgDB5PY
WDIAtDuQ+qvMIUFTyO674mZneHyUE7tWjvk3NGqQUYqE14lex36TlO02jgq6gtJzFGrrKQsjX0h5
LjK57xBerUdX+xEH8SMl1PU61MKICmLxw4yrpyH1Nho+2lVDpunr0Ni+pmsvg8U9N3be2ZwAkHSW
qVsntb4TLHJqdfeHq9oTkuprpYPGxcpi4LEvU1ka56LJd5nAt1C5zsmcmjVlRoKFL7pjRmAjiufv
hvuQar41e6cqjrdyoAUkiGLS2WldiQcM2l2a3RIpqgGYNi+V1t0ltNSBcqqbyCay0jE7xiKK6GN2
bc3ZqyVflNhkggYbsrGAC1dZJM+ulAQNphfowHVv8a9ukBw2uFO4S3P1XTpDt+3yZu2AJ9hw25mW
hOtuqK/6UR1kFb8RKkkxk65jFx4lspXkvsvsN8m+u+knWlKL2n0KNfrX9TzgIS4jZAyEyec1Z+FK
qmzatYUx53+mMf2jpDIQWv4fN+7H8Prjv925fNVfd+6SoIsqSpDVYJKEBJr1F9Clg1kJioY5Czzg
Jq7Dn3eu/MMmvAGSGoaaBswlmOHnnSv5++wv4RPQmP73zKOm+btw1KZfk3RS8n2Rp+Jg5VX8fuXS
aFWZdhDPl7i4MWeXqyPAxTTRozApY1yJmYYuaRRXnsruvNl6m6tMW7sQOwR0M2XSno7Nu5PHNpUX
UwAZT5rzRn3vOevlk1L1ozkWn2TTbWvNqVYxmVNZRamD1zrGGhh2J4z8iig8QviCQa5ShWtAMC1n
yGoZhNMnB3XT1kRxDJBSY6sMaH4z7Oc042M+qzd6hDFMspuMdf+Yxt1NI63rGP3+jmyY+zydKHWc
wmswqmM5DtVq1tqT7mE/mUgiz6eSn1mxHZur2usPvRdtUYoHJHUW2yLSvvUVVgvudJKUrpHzbpVF
dSMZBYGPcIXAtrHfQLVsa29ZiYhRoG/lB+TWpU11h6rher5XQHrxEJBbXrVrVU/cf4kZc3Fb6AwK
LaFH0X7JFf13zhi4SG5EdnTLWG7qESBRm4KlwJg9bFw8o0uB38xkMkq1MnU4DOI52eDsJ/gFIt1D
GBwMDz2X9qq3S2jMyQGRetTHEck8cQ41/YZ1JyidTrqhwdUaJlw3UZhZm6DEzcnidIVvyk/beSey
aa/GwfF7sktXSRjuJmENa1cF2PQJuLRclAwk335UiX3ORCtXZJl9VxbTGslsGDeC/rEriu8x0Z+B
TQhwxupmUajR97Seugn2mmJPdYDmR2lls5UNZynof08xKUaR+DZbzjGvcI3m9vxa63b9aOVEduYW
N/ywGqvxgIpiNyVJABcaAB/GwZ4gMIoSa/M001S9khqJl7NGyYzKvSdtIArWqbXtKA0CpAdYZbgo
LxgPSgJBirJykIAVBHtolDLW1S6OI3clXLR8RgBUQnyiRjxS0/RPCodVZhufpcl7xgH/LDwszUH6
SBLnS5g3N1MEBzF1Hlylem6bZa2HVMIY6a4znIHF1B3znjZUI1HPA6gdEM1rN8e+axsnuLuNHlcv
4L/dJjCxPKYCE1PWZA9cF48RguVV1VstLy09EQbtVwomvXNfarRyq6Z3zg0KQxVZO2EG33Syfndi
JqO477/bXnhHMcPW1YsL+YeXqRKSZ0wZkMgw3LVTXKl0uDbMcJsWP9IF0sOp4bdjsCvjUaxkZsFG
2vNNTIS9JwJ+ha5Nvnf7rPp2WqM6fM2DoGCXTru1aC363kIDGm5+cBRDw1RmwKWN+0ByzIkszxfl
RedMTremoe0YzQoKVOWPYIGNJYCz49a0zuV8AIMl/nXyg8T4sBOQi3jQH/gYP7sdyhk9KK+72Llt
pflDqrnxE228KQN0f3mrW2v4PypRg8JeZU4EyNg1Ok0RU3Yzp/IuJQ9ksRhRnTjQxpbPOhkujnyb
gu41zeqbQG8g7V072LSjgD6fa8lYY58qr7VulOntqFeI0CEOdXJfFfp7MJugd6l6VGV5ZarwTcf9
1Wf9vM8DqfldalxHqDxXbRW1JOZizSMJ5KOsXOX3ZGWQSlItqco1FzuQ1cqRLvCrTUVMYDVXrM7g
7vox7vVDFHV3DQ5CMmjNg6Os66nXTmXOTxmn9abqQJFspVlUeYabJMp7nLXW5p8l+2vJtv7PJfu+
zF7/mwZo+aq/rnz9D/RrOuJoEhBtZDu/XPnGHxbklumSWmhCK/FbP69874/ljwJfmSjc8SKxgf+8
8r0/GAGgMFEgG2zIxE/8jVQn3Vt8E79xW6zZtFkyVxikT5Bc8fudb3l50gBWzRevC5sbN4FQiPXK
fSahxzjOY0rhpg6x7XWDOI80IK0GNUQbuCP15Mqxu49Eme2UwujuyDLwXa1r/AKZGmoLcZ0tU+5g
6sGVbcvm1pw6vn7wKBvs2T3oxa2mvQYzMxmqXrVdRKpKZabvcSCKXVIwQKMVQXBStdP3PIrCY1kv
eQOUmW6MQsDue14FazU/SQNr+FJZFeTusYdopDVLG08F6hK/oXSaA1gG7BzikmKVh51Atisd0qmi
2N6bjkGMvqSgZCVIwwe4TBKMiPpo3XZFvqmVCkHxq5doCgMcmsM6Tqtjwv6KubFID4aSFKdYrnET
6uGzSGceSrPZWlVxa5e18FnBtV3nhOqowt48cp+5fmZmJ51+kQNtmXJDHaW1S7PC8gdmmr2jcyEB
jKfHOkduE5TDrWrYvKqMdF82TLXSbBvfqFeCcsrrxOTKGmbeHY2Wv7t4pEcnj3X90rbESc3uWB3q
qD32RvK9rtyJoHEC/8F+El8HGIjCmuJhDq3IB09sNtmCIARACYmlMSCBLUyADPkX2rDgDjhkkvME
FKGlYBLEeZase+AUaB2JrwjvHdO9zV30Uek07QygDSMZO4lHHryjAfhgqb4pAUJE2HIBAo1UQCQI
k+mFBjQJFvSEInPyzRdEhb4YVDhFfmoBW+wFdWmBX4aIxb0FNl5uQ2vFNntxAWsKQJsB8CYBxKkA
c6IF1VELvuMEzs0cJFsF8JOrmAoIoCBJMgg7PeAQPEcFWOSZNs5m4CMn6PkdAKXcaN7MBWGSQE2M
Xjvuu0cyjbA5BRWysgWXQuHGAlWnNooiRv7+3fJUs9ZN4jy2QTldyZFeAt/N4/RKd2qw834Gz0am
bW5cvZmuQhy8h38O4z8RT9al/71/XZrXIvzg4P1yt/wiRearfh7GOgLKRVvJmepZX7WGf+1fOvDl
EoPKquVhbXJ+wTzNPwjncdAh05dCsI79y2Fs/mF6jsP/+GttoFLjbx3GiyD0t8MY7BT0lFghQvsI
mfW4EX4VZNYOrT+jKwL8BDr0kcpSiUJYBidtqsWpcFu4Kk3M/XcriY5xML94oa7WlZu8mwM9yATw
jS5RZSSA+LUpEnLF6sqfkhjcAAln+UQAHp3R9L604RLSAlwJWWgwQZvNq0Up9kfXi6DZGoXNdtAC
yhQw7gXD6jZC8Vn7XdYacp011rCtm4TiA9R9EjSIo3hhN8FOKjjtxJ6WDpXmU6OulgGLB82OA+Il
DCY6OEOcKmjoNBPsjdIJFAJziJi0IdSdPIZKlQC4ApRzvNVNdRUNcokJvbLK7KCH0WHC8ws1DT9L
CoG9Ltuh3xitFV1VlrMTlXaTMIDdVYF36qqIzSJkJwzxG18VbdmsDW1M/dlJUCdWWrJx6/4yde1F
SydvNRKMsprJOGBgG/0IPatkTuwoW4rNuflMze4+zsQ9oHpu44PuihutTtXZtNCr1dUWGiR6LikO
djvaJdsgJ/6c+DWzjD4B0JK1UWHGN0oPD37P6mbm95pjj9vKY1R3axoNGnAphHFyX1Fyw5E4rQLl
OhtDL6LLEJJAGFckCpqIPrtJg2YcMUmQcYfitlmZsueCMMCyY+2sK3M7ODqigb6yHlupk/xAygHs
nrcF8I5XbN3rqVcN5h63erGDHmBb1wCL6XQM23U7E/b0y6N48+c88avh+T/cmzxwyHAcAFrQD4iF
3z/YNC6PIpVtcm2IqNqa2Wi80tHsrUei1/5/nPo/+NPief3f599N9vr+0fyX84+v+nn+EV0mcGvT
8fcVT7YMe7/gT3iTAZ8cbBpf7M1fwyixpGSqLwp2PGH44vmqfw2jrg7rIxaLJvY/Ts2/MYziXPi3
8w8Ayl4i6Rcjn7HEbP/+MRnmEVTXcsdLRwfZ2urSb+Uw37nlMPiZDC+5XifvPGLFKp7NBxSKIBmm
BpLujp9ahGbJIZdKmRoJHl7tEydI0IoLqRw3wVsTQgFMmUuYZ1/cWTILQYXKYDcOwdnLEYciJ3rr
zfjeGdS3CLSd8BJUkUZlracyQq7iVkdzufFzd5FbymKrMuOe77UZO71fNWgRUXTOOo0mREwFyjl3
qXzE1w4Mm4Y/ktY7W+Q1CGu6RGG7L102dbbhWyMSYmt5JoJma7iZDMJ88BQ4K9dAhURtw7K0rsDO
1mbdc6BbhGuMlb7XabHayo7qQIAuz++xbvlmGuwcJNar0sw5NCvroZEUVM1y05um36PnXRHRGK/j
fD4onaK6rog8YpXUky1/EM+5aYxpYRSO7tA990JRopvQl2SZMemWM2CbM/QkxEzzxyDKw6C7W9fU
aF4S0VOoc8jTs0hSEvEhRF6AeC0MgkublHu9cCBh2TyVmv3W93TAlynZKKgVTBdGST/0QXqLEgYh
ke3cebxDQQyjrZXNdsyy68aSaCrEWzop9BDUFUP760tc2fiYG9ZLQjgAZyszOAT+tup1wuwn90Q8
44OWkUHjKPEUD0m2GovkpMzgsZqaa9K1TmGTylWbZR+WFn2fBu2hMolfiqa7Tjpb4WjPvZa8o/4G
8rPnYd1UhF6qJSDIaOtPd57vRa/F2HjkmX+mqzFxCf7AemB9EmzkBwY/ztirbeVSe2tY8X1JAp6T
MLSL0N2pxLVXTVF+NwvnxSQxcl3M06vVIyPhQw6FEmI3HbrySh+yHwGfSNlAxVsGxTuZw4Yz70un
+zFo1hIEaT7YMDQhRz9+jfpGF2OHxnuYUHUAHDTanGy0qPcQAHiLWyF9SjreJAXiuLLBkFZWbtx1
TuXLKqeLJ2+kT2lKdQzoHrk2+vJpal+y+mDyzL3kjPHl4jONQm4U1VlIsOfodh4beQhSVEglYoUd
VkVcg/1o4bnVE5wDEViEVn1C3LELMFF34CRRkMx+l6e1ehy+AEobqSTQYRik1n0RmMB9hLk8xVZS
+hYAp5BsPgGQ51RYYJ8LCMqiRtK/3OFKAB/VPW/TjU12JA7F9XPaZ7DMmi/lYCfUafC4ZREf6WLs
qJKE9YltipVQSG5CT073XgUcWxLeNUXqx3L3UpDmbWIAXQGw26c5Y8FEwmDheNEGhT1RJ+71hCiJ
7EEqXrxvMTBx5NnBCjcZas7uEAMkN0QXZQDLWdxvqwVMVEDO7A0MXoDQVlSE1xmwdGo597y7+q4G
sG4TQEMA7EVk05ho6MJgfGsd66kszedcuLhhAb8TRIirmt10iVJ7sml4hlGFRiIx6npc0PNiwdHT
KLsSAOv8qoEdIKFFubPhq0DfjZrodTP9nIHlq8R9qur4zGD31rRUzwhkmQ5AvtMvMqk6MlcmGDRy
GJg7EehvYkruPIgA/vFgBBJ29C51H/NhGHlCzI7eSi/yycvZOAvwBN+Adw0squx4mGYePReUqo2M
QxsCW8XgV1hdwHD1owDXwsl7RdEf5TcL5JWNTkS3Zi4RV+bsvy4+XSvXlR+AlmmR6ralrJNt1yN6
rSpxXSzg2rDAbAZ4mwqDV23OryJwOG0B5PRpftcWiG7GEr1uRuLxWgtyeUYY74b1+0gcyEpbqGwQ
tMfYc044Qd5jBRlCPVj+ANe61wrjkSa0fB1U/GtkbrAFY0afGDBeOePBzatgEzg9FaTcDlWH0n2E
fswzPmsEmzG2ZSIkl7oR+gxol4WFzzrSUjPVtfK7kRPBe/5nI/zaCBel9v81EfX5a/ufE9HyVb9O
RPRZmtZXfIHj/c7I4T9FfSAIUEfh/S94Dn25xW/pMGS02/y5R/6ciCDrcPjDoRnUlH1Fvf6dichd
BuPf4DmAIxIPeBXsmOS4/9vgbEVhgaN01i82vop0j0/bgJ6q03MSZGtLtbdepL6xbfA8d9luDOU3
LY7aVY5g1YbYl0EG0cYR07AN+WbZ3DpDSRGtOPXkVzv5dDCndqP6vZ1oL2UYcuhzioUXPZHhGa2E
t3Zs5gdXJwUpBXxhdVM/IJ9QnPfATrQFvmCGJVHc1LqtNXYvqsz3I6zBxrSHG2gL069p1uX3xUkN
+DvoJz6j5nd4kLOnQutnmi3FR1y1n6Myfnga4W9ln0ZrRpH73Js4wiZinWftGxpStiK1yFfRfA5K
XhfOPJ80K6WSnecIwaQCl+FCYPrl/7Sf7DUWf5BC6EHfUP1l4LqK8ckHlrHJo6YmAst8F+kzJEbU
OmrVEhphk1vvLM0+gds1G47Q2VrbKc1orMsmpH6Fp5YIQfTUr3psBYMfTwRJ0GQcYY8p0j2GyhpG
TetXnTVVPss0tKmQS2SWl20hX9KDaQwNmFTckGEQjt0tWalIbFXW3A6lmWBHpEiGc4W3ipCFVduw
lEZ1QkFXgRstrxHdqYaVvScYwGosb4Uglnjs5YqdJLnvgQxs4hHH+RZTtUVFXyI2yTiso9Ipj5Ls
sRX3a3wObJFsRtm3IICDu5saVnCCw9Bc1mjxMW2ZwU5P+09Dlt6ujup+XadBuNcd7W3o+OejU7b2
MVXhcazZHmMidveA3R9SK20S2cfRJxAUikxah0z07bq0k+zGM1Eh6W2BH1mD4pLE7u9osKdObWjt
Hb7TDywQcod9D3t0o2U3rirDI+8c10cwFq8e0mgk07HYB2JxFggcSwVAIARolzYb3UX6nmPBfqtm
iqBKEthXrY0OovO05jQiTD2FY9/sZET8MEWG5q7CeYmZILJWQWt/YmCz6OGMcABY5o69mlguoXIC
eGXFHOV51psAyIPOxL495hjNIPgcYjCsAdHuqGu8ysJBko5TkmcuPDYoWPajSovOj+j7E/5kehNy
EsQcnxmW0L2HK/22XETZuNLaUxcoQZgrE0UjpodM00PydDN7VZgyJXu4fiKjP1wLFSx49ViiB5pI
921f0JR+y0qE+oEnQS5y+LEhJw0iES4urTl50ovyJqnb+PssCag0ojAiVtPDZVgRPqf627ggm9R2
sKBTnlsfZO98RNnwHTBoO4YerQJS+xyTbjFNxi+kjx/JLH6enNHd4e/CX5A3yyEiz7wVhz6VnyXP
qbagCl3uPQjPvqn16FjptrsqmvLaFda74chvQ6ZNG0DQm0413sFrmn2p2vtWycc6cgJfdMwzdd+Q
WTLHK6RB8840IK+pCIf3pqVuBKtovOguFLhm3ZCof6wZ9clGTw4XTB1TYezjMjqmbnDxzPGsTWa9
OG88nhQ8coRvMNLEGU2L5M2+JR4MtZN2yT40BzIhrd4k809aR4dWKxwv6M4tO3+Trc2ZJfqCtL36
phy1e3j1xWKXxseQQFGYTaw/6Tx6vCQmvlmjvZLh0gHIH8PbnKwz2GZCVvvl4VEiYO1avmlXIRhP
gljuBPbkuyxsqo1nEMrKCdPv2gT3iGZPcldZ+uyrhMUNO3XGCePOu6mfEz9oY5OwytzypUrwTDb2
J8Ca2qSWOuAlvMAcn3IzuaLcJ/fNURg7c8Q4aYoq2KbUAm8j1xa7DKXwxiJKZG84k71JoOPjKFNE
Q8bGzjCX8oiEVxvlPLXGiKopK+hcBnJcwug5pQR9Ebux4Ce1m8FeitbDVY8HZacl4OZJzlJbh3RL
FDlSO46pfvXPqPM16iypRv971Hn4iF7z1/8cdZav+mvUwWUHQm3DNhLixDb0C/izuOzgJ5fGPuOL
U/wJ/iyjjm0Q+4T5DsDTXqagf406TOAIhgCrFyKSOvC/MerQOvYfow6olL58LxprnC9p8a/gN2gN
glJexmVAMtRuEtN8JI1tnxSFBm8e+npngfwusvxg6A/TCNZS5obj64M8djbNmQQc69swmR88rax3
fcK6UOgxGiEn95O+eg+NiX4HUjBQ0hAG3msbU+ufWuJr7uacmkKncYIrChidQzK5G6c2iMN3h+ZM
ugPdH6ERbSdXf+sYLQQ7yh417TUZrEtA+XIF47O4m/XpFm2/c1tXOQavdPQ2IitAhzy0BVR8E67Z
Y/ybZSVXOa/Km9JtEvYaZRLoiJLlSiFO4YdeEAqyaZctuisoPnaWSSCsSHbqTKz6aVDol8BAGDz1
Bb9GTdze1TN9VfHt1XKgNa7gaFsOObUcd425uA84AdlVLgkn4sTJ2DX5YhEwXrvl0HSW47PsBhuv
AK2vZAamTnkaNJRXjQPOFuf1vFMRoHLDiez1yLKar0Pa0x4rTm3J6Y0Nki6gWt2QnTxvTE54s3bf
S058NDtLGHV0pEvtxu6Ch3DgchjHZjNwWzTcGoLbw25Z443lQmEwcHdVVj4nY3Z0uHOm5fKZuYWm
5TrqO1S73E82/VTVcmHpaLG4F7jECoe3hZO1QunILRdDp6zS5eYzuAI9rsJ0uRPH5XbMCnvyYZ9H
P1/uTtW2/4+9M2mKI1vT9F8p673L3I/Pbd29CPeYgCAIZrRxA4F8nmf/9f0cdMmUdJWqSrNa1CKt
NpUXAQGEn/MN7/u8DxaXqWPhpmPSsk5DgAJzGEckFtb3pbyDc3kbT44V+i0XNMhSD1YpFqt4ULt1
saAXtggoAVvaX1XSk6VKdxaxtQCfukf2lq/MdYxNoGuvlXR0RdLbVQRiFUi3V1jYw8aSDrClhvWd
8nbd9tA7YfZLq1gsXWOVoe/JY3a3IXt7T3dKHgRMZjNmMyNtX3TpPnMDsC9a0gI6syirC+wZ1DK5
x7NfYbTGwUY7y5EN2N/GGIqDiGeEuGiCeqT3LQA6oUs33IgtjnB7Fyv1dNQxzAmMcxEGOit19gqG
ul7s89wPxoPL12yN7qaS3jsLE16aWw+2mx9xRzJ305PZDzDspZrmqdLAV3SPtnT0lSB0gBhUDJxs
t/FKF7FalxSbMq0OQnDrKfkdXPZ9WocXXc50SsM8GIv5SmAmZFhG0rX0FzYTsdeZWM4Awj9FeBFN
CzOkpY72PqntC+HmlzG+xUwaGB1pZSzTdGHNjL0xjDA64naM9z3eR4EHUsMLmUlTpCPtkRY+SZrA
h55QYgKbjC0JFK4/SVMlvG3TJ66T1ZW0XCp9tw2NHN2StUweM4fr0QoeFmnUrCsMwwvezUWaOHHB
ELRLanaFxzNYmrdamj7FQqNWu4JMDQyhIIvTlcuv1Rtwiwpco93INatLIyliZMNPB6I0UlymJm5T
A9dpHKFQm6QRNcORSpn6tOBQDfCHeo00rdIdKqsUHyt0mSfY8tIvWJyEtLpqeF4tt4eOjgm2LpyA
AedwavDHBvhkh6g9qO/G2co5i6WVNrDzU4a3drJj5SzCbRtL263aTWcWPlwI5lhPJ/h38C4zzypY
uGXSuLuo0WGRVl4E0pMPCP9ruAS3dYVWYNYENby0AE9R8tpU5jEsMQer0iYs+2OvkNbhEdLyrsNN
bEu/01Ivp1kajZmkYcBww5tJj9e99CLjSXbdfECC0Zyx1WUAr0WhV0sLsz5ahJpbpbkJ8vmR1nPT
hepzDZYOEQIWaLSVl1af3wm80Ytd8qkiXhuDsWlwTw+lcx7jpk6Y1OxguabeuFjxivXIdra1L4wY
D2bImT3hyrZwZ9da84al9tDh2l5wd9rSxt3Ovcfi46lExh+kWBUnHN9Bqu5sHOBqSBc98CZQOY+k
RdyOUZOa0jY+zfZthY98AaaQdhyUsW6VDLrsHQ83JDzc55qOVXZq3WMDr3orcKhnvG9XTsaU2JbO
qkFAvEOH05iM3SyaK+SA4TN3Z7Mu46in65vLtarr1tFxFARtaBC3Tds8xql2Y9LVeIhe7jS7e6KW
C+DAOBOiHTzVmV1pnCAa3nLnRYe3sG3cZsPre2mSusR7Xb62wZIxKSTuhEZ6uST6wMS4U19x5x1G
g4+NVXTewa5eoUb19Eop127evwZSC6La9SsEwmOSkEQVKEHKqD84aJXVo9KckemW7uDDsqOLS3r2
wh0nWOCYl5FNSHVVxdjM43JT9uFuRvaKDeKFpREdnFLczCWkjVhJPrPe+SJNOnqU51sCp7bUERJ/
NNxoZqV5aGrtMxLW98jpuIoLg7wpSiOsQ8uMPVhrj+5i+CFZ96malp6Tj0foLdmqVcILlcElyuHq
q6MUmDMN92kkVX2t1LnJV7Ke08gkvztUHtW6D04kux04zSGBHYwh2kaxYbJV6XEIqiyU6ssyg0lp
AfhQpRQ3rodlrWpuHV38U0d/GxlSwP51HX0dD28A9l9/oSORle9HKa0Znwzgt6BPVYPZHNvujzUq
ChOUfoLJICIOPHLsSj80fcYnlXqZ2htLmyFlHn9W0vonA6yXA+sWBcrfraTfc4i/nxlSi1uMDOHm
WRbztJ/jsCNRDGT+6PCwyhrJ14WSKXPE02eobY6F2EjSo9sLPSU6JGB1CQR+2WiwlWwG/OA5HWYO
x76sFcqkSdmbZqEfegY2/ija4hzxan7Drm489pNRXRRxV37pwm48E/mY3hjaSChdmZBc1E32WyBi
HFqGE2y0pOEgtuuu/MzCE62xMjBxb8ZqxSp2mwpt9BcKshdi+LSvih4v16K14t5zIYOuilnLuA1c
9ApW7U8iEawAE5KEIsCZed4Ht4KZ3XVfKVl0oyZmGrbAfbR62WOoQqNO/evojBrsIhR8w14deqTI
yIGayKdRL+dn01a58hrNQdoMdRUN/GIN6qVlVck6N+M6uVOSxZSq+NS2AWki5SIXQQeCYw6k/gLJ
wVY75N16YZrr2wvq62o+c7qq9nH8R746NK55PkidTfAuucml+gbAIUIcpZainDkudH07a22yn4l0
cf2StgSAyGDvhNT2lIh8uiRjjGIF+nIwk7rbO7UTD9dLgjdrxv+76F7EG3M85G42F8o3Ccc/sgr9
9/ya5+I/Vm/ybfzv3bX8zI8jAWkFzxvrANy08snntPg4E8DbWPAGaJIxtL3jjv84E0iFA2oj1D+W
BX8019YniDgSfGnBPIcU+PdQf/a/NdeuMDWVM0HqylhPyI9/j/rrZ9PER6eAZ6VxyFjfS0pBkVkE
OMiUq9Sed0pL7hUK8ZPKOgJqHPjLkXCscSYlC5cIzGTgY2iQEo9hAuJTmapVy3ytmKAtzor7kuCt
Sq0PM08D0iXngi64WRslItaKZp7Qrlymd1H8XvMQ155JsBc6JW+wSfoKdPXkqpSgo0PyS5M0D+pk
f53AgWySsbrJRXJna3INm7Jz7BVk8rlbPxp91fsIlv08BRKWhBWctFLZkDzbI2lqtmOqEGQBWWLV
9vlZBC4DmERQUj+SSKP4wWR8rrJBmU/MyJ1hk03aSA1dSj4svGi1wscDxMZ3IXGgCnM3lYTMDhI3
KyR4tp719SBRtKlk0ko4rUutlktcba8mrx38WkbVLjlxjrnSu8tsuBNtabPHBnjL+J1dIwxcW8Jw
Nai4icTjTi7YZ9JbiG4tB9SobXtWq8VLLeBY+OA0AAGgR9CYuuWGONVpmLKcsEG9zOmtGuHYsdmq
tBMbyUk1HgujvGeuUCKsm8oLtQBtptjuurCxaIXVvsjKy1Zrtzl61cy1zyYzeORqY1ue6vO+tJJN
XxjqXmMDTkpSOxPZM5HRZtEtqhkHDq/nwQm7+GxAsrEGcDauHC1QZG5dfgTffosgBHNVZQP5JS7J
eA9O6mSGEkhmkm2a92glbXQOi5hPagspRrVatjxSaNFU6k2IRiaQGU1Lox9rQpsUYqVqQpzMxN6T
W7hNh34XyZSngbinzsmPkwvOZRIzMbKDZ+T85bllosTsCQNMHkySoyjstyNJUjAJUa2QLTWRMVWB
wGzInGrInoo7FDYyjIoDt/IsGVBF/7adhpHIKg023USKlSXjrPiTJ3BjkreEofTQ8NqUOTTXNCZk
xpKHhY16q5OPJRpWMzIwq+uzA1vp61xGac0yVEtXjJu4H18KpYX9c9v0tMmYX05hlPgVA+CiWs7I
QrxX3WT0E3K7WvK7QPuxBGCZFrfp51xGfCk2c2YZ+qWT/hXJGDBNBoLVJIO5gUZdn3PFWguWuuHI
oOZBiPG8bBW/JFsMmhazAxVGrEwdC6PjqBkPdTNeRKZ2n8l4MlXMm1oGlsWpchmQYJbkxWUvI82Y
Pr0MTCiYKQcXrow9w9F+nmX8M3rTUQajjU2+d0hKG7rinH+5kGek61jbzA4wrUxWI/uFMvo9by1S
ZfYaMMinBB52YSZMz2Q+m9LuCJ97asltG91hjdl7m+jO545yOe+BUJYkveGD8zqS35qwepxlFJzI
yYkcDevCISXO0erM1wgWwvCrP8YkyY1t42UyWq50jJNO1hxjzpOQ4XPzMhxMGUc3kUsXFKwn3Kba
RSTWwXl6SER6EartnV3gv80S9boj405U2SFixp6q/UOaGzeNDMPLScUzcumGbA5QOI906P0+nKm6
EpL0MlGf0/Nf8yY5K2XUXtR0xzbAWC5D+Hooormoffxb2WZoVWSYI+G92rnCzH5Vj8reINFPJdmv
a+p9TtLfOCCMWdKLCcRvly2nbkjRlub1QScjcKp4yzrM/PI2u8Ng8TklydeozX1HumBrYAUgbVDT
o/uB9EGTFELq34ylULAZTOKHBuclJa9Qk8GFCwmGgYBASKJhIaMNWzIOozI9h0XzeSL7EHUdEFCq
Iw0HhJdYJO8O8aYgL5HQzvPYdr7+061861ZQiP91t3LzXps0xXPzGv/KhyT15R/1CS2LpktJgouO
/b2e+KM+oWdh7I++QJXTfFulqvnoWUw+QhHiIsy0oH1IEsjH9F//5NgUFCg20Yba1t8rUDRBffSD
0IEkJOocC/2nkLYnVX78uwLFnUylcnn7XSop5CJT1tIOgeB7S9bXw3up3dVdAwtsVijBMdZRjgdj
3SZ3BMbinX0v2AtZuxcMlQA0gTweTtN7ed9/q/XDCWSWYEw2wDZY1d+6Ap3EBKhR7+0CjUlD79C9
NxIO5CbOHmz7sGkwTsFqW5LbvOQONzDuCS9L1fmGASKIfJEk0aaqMrTjaOR3wPCRm5m9fV9oA2IA
DuvhvsLJiAHfrBgZGAyLM09p68JL9cq50tOhQgdYJ0+KWZk7AmRAEKP9C45M8kNnhdSN0U+LMRn8
L6Akz4mtwHNLAXVWzT32ej0pUnZ+aVvFcM1WJFo3fQrtNLaLYdcrgQm2rnaYgueEpDFnLRduq96a
VrYTmzaQhsy+RkHH7HHp8niXNfbyJRcKHM3QmNvCm1UuQXLhXTPBA2boPWGozqB3W7PhD8I0CqLp
E8GSmsYyH12EkWh9VKxpy+ik6IpwjbH3GPVlcXduyN57PVdNuLXVbjm1zZB8RlHbnly7tQHtWhrK
ezT9t/lYXbp6W2HiVPhtXhVKOKjrsJXm4DAo+3ofCa1nuxuL5CnFnHA7uVgsKY16PEIjZK1sp+pF
Z68UpwqSPRO5ZDrL7dgY36zRCd9ccp63MNYDwkCjkvQ7l0i7VmlZ8SpkQaVO3D5GulY1x1pRXK6o
7p995bcEAMnr+f3J5cdv4a+aKj7xj0PL+qQ6tC3/AgpJ8sFHU8WhhchKhkGZSKP078Cguv4JlIFs
t/7stz4OLYGvktkLDhtWnX+3q8Jx+dOhJbeeWDRxb6IHw5QpP/7doRXz1IPs6vQD0V+IFUyiU0KY
/ZaZnuUxb16wBsNio/QhclcQ1VrMy02P0DpE+XmhAztn+Fd4egfwRK0/J3amaVd4/aEVJQNO5FU7
FO4xLzt4WXqfxfu6m8UtiFLF3Gut2ijsCJTumAd6cJbOFjsokTLjv4lt7NnnHFdZ+8UtQms8NHrV
mCfase1gFdkbfj90VkXMSLc30KtvVTlDcN/HCV09d3sjYw+H7Bzd5DqQhqPFsLF323WkngtpSGrq
OgHrTJL3Oprc2mvqplv36hyfm91sXATBUlHjuIH73LfAIldGHaBDtQ0qUhwf/VUkzGfSvD4Trvkl
sageyYLIPRiEb1WXv2El1VCu57XxOnZEAatEidbhuC8W1dx0INA+j7AgVoNQ49gb016DDDSiNqEe
fdCUmNDudAy+TDG5r61eiH3EvPdCSYWkTjbo0et+YjRU1VtDkmdAnXVE5RSIaRyEPugtUJczYeaP
W/kWLhX2kgH4+/zc6d3SM4PGPtBOL/vUQKgUC5cO0422dlznqwY86UqfnQRnEpYcu0j9ynHfHCNS
ts6w7DKNYpAJ0HYOUGkrbZ4ieIaS3RrToxGRK5GOy7Diut2WmkvkZjd5XdSMlyneWQ+j6OS5mTn5
Dflc60SpxBGwU3qD8Uu/LiyreEtUo4F8GhcPyWAgco7r12IekvN/6q33esv4rcXmpu+6X1ls5Gd9
HFkMewyqCaF/q7JAsvxxZPEhFyami1lQw4Uo3X0fdZa02AhNHmTYwN+DHf6os4iDYJ7LTJTySwo3
/pbFEKTMT0cWlRwiEHooA0gbY01e3/dH1iDAFNaKOx9NqTlWlaxYtwyGU/p9J6jPHTWZ4JYNJgmy
ZlBUh3Hsb9Tc3JpOSp3PLhs9kGpeTAUrUsoogGKwHQwmmV426+1GaB00r3IsdxPgjJMwGCJZRqec
04mRC5WUjy7WE08x1S9FjbRRi5ZTHpdkAY1l5ivVkK300D4uTA28ogTTFVZ26sXluKw0h6aij+Ev
Frk4pbqS7YcccX4emGu1icydYk/YDfWg3aNcLBwGDoXpxVV6TQLM25jWNyVMkypHddBg70DkoUxn
ocuScunc6qj21meGt8C++CqBlh4Y/o9YLhBiTEXGmts9qAa/Gp2uiHCMk5oSeNxXd25SnyO5/awq
CAWrnBe7jGwsneTCMFnMofc+LJXzurh4edB/1p4jBlKwYaTBaKs99sb0fQy5XBF8SSO9XZlOiXW4
xUpfHwpRPSZoL1Y2SHsZTg+13ZxfllhcanHDf0CzjIG2eGqi185VqzvKvEV5N6+qSHqHVJSfdVNC
cmyYppRbAdRNdcetAHrZa+6GtOO3xXHitWkPBLeaiO6b95CNmdVn31bMT5izN85YUbW55WoUxgOh
8IdeQeJbG9V6YNPrt/NbYFtrIeCUiSCUB/vX3g6JR0jNwke2U240tSMqJBNXQTNjbrKwkFRJBZt5
eXZq5Msae0Qs/KXlNQaWFIi++0F090lSnno1p5i3sMLLGIal3pjoDb1IL7a9ZlHghw+4VRAO5C2W
Hvbqg4L91YGuybIfP0achqRdzaQv2FkREw/SYpUIg24d1+49RSFihbDGhmSdB6PT+DPLYL8z42fQ
A5K2VT7bE6zVdiJ5u1WCZRd0pYHnK03XVUhWaC6A2eFHquAdhwaL/fDGDmzeU6UudiLPDx3rbq8v
8BoFBNHjK2EuAdWBQI/xhDuMiAA9WBVTTlp3a13kltix2gE7E7rHqWhbHPns0u1II3ddbVdWxcVo
jqwvCf8+luxnwJ+SMD6mX/qkf0hyHfHreJUYgLO1MH+jFUSkFHIxjc4l4yt1nTjMtYKW1Axi0q70
Sn8lMwEYeRXt9Gx+GRP3chLFDTnQiZebC9afTqUkNsONYybJppIA2C6wntqyPomQvVKSpG/JMtS7
WQTbpWeJKjLF4kYDV+CG0vgUMhMK42wNHPGhGMsH9i6YgAfjuVGTzwX7dv78JUpUglpWccm2qXTu
k0Yh6n44c9xcXauTubYiLEnIiCE0E2mCjZDyQnmiWtnaSXlRNqi9RhuoP2qMx24B6ZCGursbKlYp
be6iSgcRt6pb1ziKtHQUvwZb/PrPtfjtWmRd8JtivizKX4kPJT/sj2tRfGJKYJjYgKVPXg4SPip5
Qb2O7R1itv6xTf24FqGNclE52O819q2m/IIflTwYFFsXfC0JKmXP+reuRW7hH65Fx1SZwsuUAQdu
KXRTGXr2/bWYFlVWpWqiHrnYGYWbkuLAarX/0iSEJhrptFIlQ08JoOklmnsfdERtB5K0xyX70uXZ
jS0ZfGx6fIoIqHzg+XpF3bfg+tgNhF6D6JuHf8AZBNYv1bXPowT9tRL5l9f1vh7AeC7xUe+UPdHv
hxZTvdYAC+wlNnAgTGRlt86ugCi4jIpvY0boRqv0SpiDqYQPZvF4LfTuCZIzV3danOZU0YBUKLeK
RBcGEmKI1GsTBtZ5ljxmYA5HyTtMzOS6lQTEpm4BBZrnuWQjJkuxnSUtUa2MYyT5iSogxQWg4lD0
504bvFbueB4L7kxJXjQmGIxhEaDlgMoYCuVpBNPYSl5jM0PoH0E4Lm1zH4N0DEkuQO6h14jlsrsJ
7GMvq/ASEGSaOodZkiE1foYAVGS8VM8UDe1mCNJ4zSYq9yIBWbIAMRlI1mTj5HdQaY5tP37OJY0y
BUs5OfW2e+dU5giyBlobB4NkHZjHVMC0NIFb9iOUy3lx7xPL3cg7ekRsoUoeZgsYs8ghZA6gMh2Q
maNkZ45ANOMIx+AguZpAQO5rSdpM0+7RBL05yoVwJ2GcQDmFpoc4zsJLNzIivwDcObbEPGqgPNvA
JSkCuKcA8qlK2qdj47NDlVStGdq8FqF9EwbzFnfHhCwxP5tLoZHkpryxbD9frGJjJd0D/9uuKFlK
GIPjEOoQt+w3uisyErILd8pvrYtSSzl8bejNPE8+Zo4IfHb7FW/pLrGbrQXvxev6JtzwDw9aX6+r
klNYTdEFDUp7ow3NljX6kzFrWzdknlI5JgESbAW7ktuvKPJTn0RsBFoygDsSRRHKrOfIZrmO3tRL
l+ZQuVmL3pt7FmfvVoTleWoarJjorVIkSEY6niVRl3hRM182dE+qEZx3CxsBBa7m/KXHL/wQFZ0c
QLk5tDaMCddCmjbCldPkykmt3PoagTstrTbFm05XN6mCMKYXwVcie94Ck5I0Ilu1UJHu2MV031rN
S5f2uGvK8gQxZqtE6UmrANA6AB2Qq/rVxCRMtwcfzgPZfmZ3qemZwQ9XrWvblnF7ya7sJmMdkRwD
As1evGRoaVtx9nXlhOJpfp4s4VNBfsYNCN90vuMPHUEUUvZzrFwUNYqeVNkXlFKEj3thkvkuOVVJ
Pm9SB8/KhEN3Nhac5t2DVjd+ZM6hL/JpM+SO1P8lF3SZ6J+wAmFy3o6uxYoh5w9y38FsmKeebFnw
iSwZYgXNcFrY/py3fhS7jzn3NAV8dDEwZ/UJUnA3U46ECnvKzoXVhKfpSzuCimMVM0+2THJ1fb2a
Dwa+c7QOFaUO7hRE//xtTSSr/a5vmy99MxyTyfHbxLhVYwoNdwZPltoQ9EyMjSm0WBWAW42xZ6Ol
6o3ZB2+1JUuDId93jAK91h52WgiiXamZfOr5VaAuA7bLmB2J6ayQOHiR0R9GuzgnQRevJrJII3Se
Mp1CBDYqC8pVM6tb1+6h0Q0Pqqj2gTFtEHDY6zTJOP+mQllVVnmt92SLxUtzNNQQaW+yw5sk434v
A2u5JVpgVYvuFIj+rKkRyNUmtjJ39pdFbCyrWeuKtsdtNfgkuS2cwvrGNbtztVg2TgEO0Z0JCKnU
lyxoxaoT/Wc9Zg08AgXba3Z4pcmiPAxPyC0viHQcvGVBQ2st45lqESJbsmxKqxC5iRK7ez00e3xK
05WeKaSmoXh1na+4XwifqPyWaIe2cRTiE5gfj0yA5q666mznbor7iKLNBGmZmy7kF5E9ptgH/bAa
viZtfx5NKqLAYp9gLY9clot9E1/3wEdE3Hw1w3nd91p1GU3Tpk6Wu1QTCwIXDOO0I21hnholgOOs
uk+K1TxM9XQ+5hGlY58jnKscr9MAvafU8RMKzjE8N7qOY9yY90HtArAC2snCCrtMeo/1Z0x9jQyY
jbJ0o+dMzjpT470wJZR5zBcf6MKrMei9Pw/IRdtGe3aX5ag1ub6mXAj9UGgbYimSVaDjxmfTxVQ7
PXSxzXE5T+AcyvihTMQVFoFrcndGxM1Yx6P2i8l6oVOh6ivzsbWYAyG99RqblVxhFnfTrNxXU3mb
xcxxxkL3qyzWVs48HoeU2ZWxODdLAWEro9o+Nag71yaZQDtDrnYtbMoTQXz6EH2bt3yZ/nf4Vv4C
nyKQjf2wHTFtlGG2CsACABGjzZ+6dgb/mjEzrD5qN/nqkZzoq9oj6Nhzn2+v20N5Rl/jdbv4wtyO
frQrN9GZGe5INt7+U+C+F7g6v/DfFLjs2Tbgpb7E7ZdfTaz55O/qXAY70KVU+Sd7X5h9V+dqVJdQ
UuQY591/81Hn2p9cgZWGKckfn/VR56InJOnWdOD9/f3Iz5/n1ZTfsmA2+T++KH7MH6tcM1NVJwma
5bh0D7UTrPqPfcZfvlN/fKO+19F8DdW2DOHKev6niTgccKuaKh363KSAP6BXj/Fgvg7D7rs/wC+e
iB9/kn//Pj89EAhoK1D1Jr5oGaLbXIz2t17uL38QOaj77pH79+9A7/F9RxDiaxU9u5+jmOzVYNzZ
2BqV2XMVxJPDGsO41w5PFZdgfNURJarFb6wAw/BKlKeuAOAPiBVbjRlCdgdsYlAw3XBa+hOt6O9/
FXIL8ttXirHr+1eqc9XDvZC/C33NcpBL6KEfsHJqxnFEjo6aGV7OV5t0vJr/17Fi7/cvgGSHf38B
GtYdOaUk0Fb8ZFIvoJB1XLbzkUlzrMEXa0hhIUUC92Nl1JXnEqLQ7xk8nDWEV5n9eK2BdeB4LWHj
q8pCc1Qj1qgQZko9/tnoUptus/xR5PrZGKgtYgIl0e4mPU+2euomDk7XblUkmGusZl+hdxJDvdG6
GRHQTITZcbDidc44RqpYycTcNmSA5gyfloSw2McWZXbY3pIzcNC7jPRGyx/AUImx3NOFwjXGzJhU
fmrelhXeXIuac6G+j2fN67WefMF8zUBsrh9bfBSzAjB6LM6xp50Ik0+mfDsUxKrlJiGk+qKvS/e2
M/DnwL5IpB3SjEPDN2JS4FQHt2aZZk9AxuAYAuRyzaD109D4pub+yzezJBx89xaRZO8fHnzjp8dl
jGFvdVO7HNWtvgv2y0X3oG+dfXMkye6i27G/WRPB6c0b3Ttjf7Ap/elJ2aebbqturUO8Sb4RKf7y
BcmH50+J8r8/XD+120aW9XYu37Jlumf4W4w+RgXg2eq39epffp9fvTO/P45+OvCcOF+yCBHTUSGr
/nZ6rUMPUTEAALbnv38ItB9/xd9+pO8fgp8FDPz8je7G4hghorxKJxD8RIasxpYluBceERb//hv+
6gRki4BqwiFenV3oj0899sHJtjNdHEca+2J5GZSr33+DXx2A33+Dn353SAXRDoRCHKl4JexhVJiC
pv/JT/GffZOfTll3wi41o5A9usP5Up911i0jhd//HL+6kr7/OX46HmfuatB6pjiS0w0BDCCDde0m
NOfTt5/lv1shfYi/NGVbfu3+j/zKX8pqbuIw6v7fj//Zfvtv6kP/uXv+4T/W74TLU//WzNdvbZ/x
qd8eCPkv/6sf/Bcn83au3v7v/3p+zeMCmW7XxF86QTXzE0NT58/y+/LorHyu+7j49af+URypn9iS
a6iDMUj8iN9kN2Y6FiWujeKCdRfzwY/iyPmkU6NhS1a1D4Lyn8URk7x/fbF3H8bHb+Lq22HDL/Ev
jwrdlofOn4cShyRFlmtINJ6hyyCGn64x/JH5NBlzc5wVXAggksjfZg3CKodkF/xHscFRGNnRpWU2
BIVZ5qkGHI4sSL3WA+M6bchtVNnaT1O0TwZaWFvb0MFcpDjYlGE5ywrtwinovQU0ocGYyE/QL9SM
0DW9zy+Zg26C0L5oI2VTzsoJB9mdPRcP5Gx6bOZYIWPkJYcGaf8+JXo6UnBeWZG+N53ovplHTzFU
Zn7ZZT/H/uCqlxMYN3ZgE6q/BZmO5pHTdmfWSI75idZZM764cXcIsLV2jf5ZD9EGdNKOajFMcc8H
o74MoujSZa6Bt8kLo+oShvBKL+sDMtcHZr27SNMu3XlewQI+JlpyKW1NQ+/6dbv4kTowimyvoqg/
hOPsYZ7bGmO/1jOLhQTTBfdr27hijfG696K+P1tc5xnnKhHsxkOSDMRfuv5gttdRuAAPSPy8wrNZ
NTdzO5PGMsXH0LSh8o2+llh3Zpvvlrm9zp3uBfP0peIUlzg/LgYr35lLf5Y3866viQcKK8lyvqSI
AeUs+2zj2o6YW0Ge2XU20wUjGw9pz7BHmxFnBumzXhrXbmV5EbzVFdfWsVe6i1Dk/hIO+2YpmF8o
14k77TU1uDfyGZ079r+CrrGOyCKHXwMwRK09qcNkIDAC7KqnUzb3gV/G1rM9IIuvarIOK9r2cKoQ
5iJCyMfppaCKJ9itQRuybmd3RIrROk2yw10T7buS2JqjsSwTcxLDKvTt0BRk1WgI3Iep3ZtKqW7L
Gj8c0qfrtOyqs8JqGG/WgNswi+uHyVwGsi81gmWmmEwfzDGEDCzJtdAEjhyWTaiTsd+TPcFS24Hq
DWu2EMuCPbu3V0lFKHzHvtjr7dHYBUPBItCab2Jjrn2I9SxRdaK8lx57JmUUyJqwvXOaTl0zrp5Z
X4lT7MyVvyRfR5N9lquIW4UdKIm4PuEix4WsWqNJL5kxjqgikHJnwRuD6AMAigcFLXNyaPqOTd9s
AKepUKfoVriO8/IkSpLae9y91dB2BFRYBBVGRgrMwngJQ+jXaiNnMW3NatdwLyHxEAs7Ja+u0k9U
+oC9hoHBfiqct7ByPxezuDNN643XD0qmVDGiz3omR2PhCg5G5ZsFA23I1fFqgMxYZY2vO/FxiPIz
fID3xjSzDFXPEtc5I0+crHSlX3Mh3MeLwOOY1ZdIQWrSPdGSiF6xDmUW3BSVtBkSs7QW0aD7vaEj
Z9OKxxEXkt/W+atSSpLgxC7bBhG1SdJpHyjZNlERL7vLAIeJ4XjWTcdYtV+gcLxMxkAs+IRhG2cG
zHOkwnaUkVaFikjUYuNUUD5qXWyDUjx2NSQCjinWoqRwhdiXeyt+nEPSSlzFgM9eM1kGAuX23YvS
N34rcDBNAUDwInjQQ3YBM1lcC6tRz2AepPeKgObJ4nBpqtsIa4CvJvNMmDp/9ykIHnU5hwuqwOb9
pW+IboMq5448onE6E1DFY8n6suXl6V9zFVv8EIQy1oSSPCWbfszrfRwvFq9tOKuc9jjlkA9mpApO
ru/HSCVoYSBmUz3rRmdZZQqk4hgq4qpXp4s0Um/GsDs3i+hWm20i0HFfFk3C9tgYdd+alIuY8Cs8
aOldg+V7FWNm8HG8khsfRWmxacY2jDylDND/syolmnaI9kYHTwWG+apQHWWrLgCq5oKJZtHm5Wbq
BRE5M3IssnNtbcpOMcqEb/Xof3cxsn0rL5/zt/bH4uN/dC1C/fb7WuSij9v/OL7EbfWrYQ2f/lGP
aO4n7FqM1FyhOi702++WkhKW4qhUHi6GZ+hvf9Yj5if00Ixv+ICDNNHlsz7qEeOTQ/XiEM5AopAl
RYk/FSC/K0h+LPBlOeLSU7P8FHw9BDs/NRQNm8gWTXZ4DMFIt+I8Nv5FSv7Lkgfa7A8lD2Jwl20n
X8ii9LGd95nU96ODXCtVt8rm6TJM7T26PHYCQiTNxs6nw6RDeIKvObdb3r/J2lIqVpha55g3Auol
ohJAqQf0Im6LCjmoD32jOPX/Z+88liM51iX9KmOzT1qKSLWYTWkN3RCbNMjUGanV088X4CFvk5fG
a7SZJVeHp0mgGoXKEP67f067jOVUZ8fR9HEtmo75hV4apLWaQV9LwPzlLiVjva45rmxHDNnbWobm
ejAcY8vzxU4nBy75Tgnaq3euEzKb25J6v1Unw5qodpiZ67CWibYt8mGWd0U9R185/uqNZYAGT5Ye
WLA1AUhhJnjl+H9rowQYuY5Erlt3WEUIsbDfVjctHKQ6rubNrBn2QhujJ6s0UMgjeiDoo2VMBayt
r7ak004DpRILt9UuXdT/sFPrvvKbuzqdT2HR/3BspoyeQ9I9jcWpqsU6FNUpihKA5WG6N2oaFsPR
OQ6kWDljqg5ZkvcxFnWdPWOW04GEy3OZJBM4EQYnuqyu6thJduzzp27U3yInnRiIQMsVgZixwRjg
ubBLTb5PJ6yD8ZF7JxqTlYMGH5mOWsF8rKby2AfadszTXavF4TbP7BpqwEwRIvOsIT7nuAbXgSWq
BYc7OjzqfcA0ILIr9hG08FWopRxw0LZCGL1FM2IhivI7WbfHyIIboU268z71KfthHQ5LxOvNWPJR
HQ2QCTjkOXgUKzCs+7GsmAvT+2skbEophkqy0HQ2h4l9Z4tJMlcT3a4paKyB3gmcLxB4Haf2XDm9
Bry93vfpOG1lpn8Kp/tgRu1tyY3lR8vPSfdFqR3flIWXE+4Rsb00iKpxC9EOPl7YLcPbdwaD+9nR
Lq3hPrQYMbMocND0qVpOvWVnGSdKoW76ggaeBEhgHawbQ1vmDsWXhJO23tAy0rN44+1C0Rb6R0M1
GJV2uAKw+0Lu4EyXMs3s9XhAYb2e+aa9QSyJsdcsaNIutVezoS1UG/dSzCcrgFHh/hiDF+nNBzen
d9GGLlG79kM1G6Tsxree00zXehQT5+nJBngSBolBmW4KRSz1n7PQfLZIj5KfNk6+KKhfFldVtJty
ES2jGXCZjU3KjbR7b2weRNpT3okgYUfhtehJMkIpxODex8cW+YU7GcyE3vhRatE9o9AHrZTAgYeN
OivjFztUvnYYR4gUQMgOuH63mZOxtbrNypIGobpOtLdiSA78fEc70V/Y7cFDWgi/vsRKYVplcqG8
M92NWm4+y8FznxpPYkkYpyl4yNsgvR0Dt+HalBkgDYMaXEMbrSot5ciWwQqL2olGKlPTVwOPBfNL
O750QtFKsroPmmVXOuoJY4DCAM9XR8Iq8N5mB/5sZDs/NE4n675xuM5QxQEQswfO6Dd8mC1VnNJl
x8nDfBaa9m2r67D0q6FahX3pLQwjOfZyusvLdFgkg4TYXTYUYvniyXHuEn7zq6qD8eqOTXHwuNmc
g5IA5jiz04NPehMhRQMOgGQeOeKewr7Xw5IhbDLBl5jCUwLHdjGlwU3ayrdu9JcJ/EovMWGsaPod
FVrPllW+NF1KrCTZ9Un75dbDFb31CS6OiAPvkD2bSbeJHPeFK+Oi85g8CgMbcjDA+m0bTJAJScUm
sFfTBCEpc9dJZX5glBi5c4B3K/rnHtKjLdqShGP30lAvX9b8mtOBslz30SiaH/THP9qGZLI7Jndj
Np0Kf9i1FQFUbUgeQ+rP44FHdBzPfZBvwxy5W8+c27adr3C0PY+RfZGJWHqifxxUN8rAuMqd+00v
uN2Mek15DnlUJ31hJg27O3G2SKVgljKuqq0X78NmxGRuFXKZ2M4d5Qa8gxmBWXhJ97TUHVrLoTc2
1p/ZCbixISdq9BdyIGx3Mgkf7akiE6nXO5vRIcsNYMLxbBX89HnknrzO3dVpeDDgIvsl7hzox6WX
Xlk2jW05vmyKHBh8p68aljF7iHddBu246oJXcBwH3utVPI9Af0z/ILrppil1/pqiOSS6tqtt5yUg
M9dzwxdtfxcId4U9at40kDrp3I6uocF/4dEEikxwThcJOjccF9/OMKtU93nRgu8r5K4PcddhhJtO
+IqhmJonxrYvTiCPes3FwDRly2AY5JcUYrgmbI7joA6tderVT4UeUfKte1fYPvFvFlWl6lFxNkZj
vrEd5z3OqCWkyEd7GkqHzwvBpPUEFBCTYpx9jExUV6aVRw75YvM8RE3w9dP57D86zN9WQ/jQMGh4
Vo5pHzVHqTI/ZSiM1DZw6QTaJUke6HhM/Tdhb//fXkKdtH56iYlPsZN2vIRe4TvkBl9ejcn/oJb+
SWXkJKV+DEdHiDUsOAB/+jFMs5swgMXhlT6wy+Ngbk/jeK9pq7//UdDBftKo1IHNV5XduLeppVJp
vT/+KKFMJstN+/CqI0Zbce9sTJ7D6qET10NvLJyGi499+H7Nf68SFu/u318lzq9U7v2FqMkX/naJ
MOlRZ/pOpYY6+UPq/ukSQdzIBOFqu76F9fHnS4T7C+FJ00XyZGgGhIqv+u0S4f7CmJghGp+j/y8T
X2iKHrVGuAdc88+xSmxxXZU72Bd0eV2HYj1RU/DTm/IXzy9/058/kTgnuYSgmdr8hKog5E/yOhBY
OtXcrrtqRMLC/kPTr3z7phE7I+AjCVxg/fevZ/4pdaUmLX98RfU3+ulxNgnmx6xS3VVCjQPnuBBs
3NRIk/aBUDY3Qy29Q99iVXRS/N+Ng2cOKnMVjAQF2rxlDwS79DIywN47FkHrqSrFymgklHsvOtkS
MLVnpsuy1j96Lf3yR+2pmPNraZhi4dKNTgNqrQobYAFaZgSmgBWUxoY43InU2TZTFm8whQL045K0
DTCjLGPY+8D2OJiRYMJ9bcZEdrwlPK9bD6EY7Cbuzrg/aVXAbynBVR5gBIOmtxITeDRnuAkIC3Aq
sHZSGtc9QH7To0hdByBB69pRUoqBSfChBhm86IuXfrauRzfa9e7cwM1stvTMbUXpHei7G0kbyGHD
Za7ZBtF0lp0737k4YpCHbKKed5TsOTuHsW1iFNWuciKtvZm/57hdXo/yKmM82XKdvEDcxrDVsElx
56uIh3snh6yZJvITvIf9mJI784OLpqeXaXYejQy3mopRLnzL2tRm/C5s/QNeok2mQZzHUhwC04II
WZ7aYMCJNO0nK77W6T4pAvbZcToN03jqPPIM7Zzry9Aejk2vP1YUvQkB0yMv5gc7Y8QK3C29xF1x
XaQt1eXEp+b0oMsURF7p6FxBwHJXo0ebeZ9ScDBla8yND6TrID5oergx85IG4G5o4eGaMNbjajpl
E9Q4HK3HLEcpHK5E5N02XW0QYcnaRRTVG6PMD0EWX3eFdjf01EEQ1l9IhcyNQS3m7Ycb4X40nATf
/LD2u7yjiMJYsTcyHJ5u2k6ynGNncHDhDXW/wRK5wuC2yA1QiVJiPBLXeVBVy2HEudVmaX87TtEt
EKd9TQ7GK70nnE7L0bXr+1LXGENi6ipAn8BsgnwHQmNm8C2wttIO8qlj0Co6hxQHeRxWsL2ZJw6e
55iLPlDAILyO4v4s7ITy8Xw76vY6c4sl7NRj00jONqSB5paWMO3CnrUywRHw2N5MwECgnSAeWyLY
VL71Q9Q04/GEABDHhVXY2bRLBzvb11mxKdEWSctph7SZ74n5RospaxFk5V3Sgy1P2NGwP+OB9sxX
v0teE9c7yypLFmMyQN9raliwzZCTVOq93fcy8++mp1Suv9n04s+6fv3vO576qt93PNUiBUwAdJGN
e/FPqCN2M2Z1Fq1QJlfQ/5LN/F9gCHi465laWNDP+Ia/7Xik33wF/nVZFTnZEA74B7KZ+e0x+sMc
j/MR4ycXQhvFVBid/rg/zDD8IlPG+hX6HfaXfEa7Ml5k+AF2bKbfHKJtcYpVzXFMAfRpKPnzmqoi
hy7kjiY3Lo63GR3J9GUjQ2jjtkmjp6K2t8DUbq3Cw/9atYvGfTYcQcyf3uWZ/uXW5g4bqkpmM+wo
GSrucb1Ui87XM9iTRrvS4/IZ+NfKodnZBtiNGft1ps/UoPnZFBrK2dgeIkyz3LNcPNTxrmHvXiT0
RmOP3Q10uKGmt2phf4a+8jDTNE347ImARL5I6aDWhgJoS/cjBSUE5cze1L62mWmtjn1WPn6ybenT
dg4ydeXFrbOA1Eikl9brlvEPgDe6oADyu/Ri101PXRBN2dVgjvQPT+5+VjXaQyCOiZ5xxRm0HcUz
AttTHcAXQJ0R4978buN2boeyu8WqXz9k9HVnqrjbqbxDSJM3SUIihqT3S308h6rsewhdbW3T/932
WkIrXXcUNIMTAOYuT1f4ZHwgDL2ENIhPnj1gjgYjPnvDS6rTFZRVFkxj8Wm5LJsczB++WQ6DjhtX
Y/lpVV05nWIOAaIJbOe09bxhXZIC7Bres1CVnQ+/Fp+nKIj1pR2xsK4DAkVbImD2iEAST4g4pd7u
peeF69bFD2yYLff6Suq1uwZwh/W9+W6EyPpqwFlrm+3K+e6MGL/7I3JTEivLiAKEEYt3KXyINRX9
ZNRPFKqHQlONFJagbYCbHP80IHRQW0EPqVj6afWF8cpZUGC6mlTHhavaLkI7vXXnkioty71okYn3
1iz5HjolRlr0lI3iufBoz+jH/o7RGO0UqllDVPZHQtWGOY2fc8vi2VPCETqCjwIkIV31c6QIzbVq
7KCqyVoTj6aSTLV5+OlORPWzl9rtBmBRtrap/phaTLKlQICE5P7B3qiIYsPIJ6f1V4VqD9FVj0gW
apfwOQP9ScFIwaBN0Dli0z1iolzZ6Xx0Cup+ZXnTW1BTI9pKSpVIc+gvQamDxM/RJNSdx0Dl123+
xDOGx3CubmI6UCahNUQ0ngvbZiw8afIIHmSOV3wrMjtuutI4wBAfZA6qRQ3dlSOm54Gqe7TI226S
4T6NIpWsuDCbAoxdwsIlOJ0xLtM3zPfr93/3FQ7keCaYLfzNvvJatK//a5m9/uXmwpf+vrkYvzCM
MaDK2HhFvneQ3w20Jv/KFPAWbHAL3xmy3zwi7i+QbRzlkyUqBh2Ra/Fvm4vDTIYJju8wxAEy8w9n
Mn+yeampjKLf6Z7Ko/FqKsj28+XDNUIjy2pbXpkeHaSmoqEZg5plUkCzMMfQ2A9BusmApxU56V3G
6tFzDlgNuXXjwWWSANdcwCWJrV3NGshfLAPLLHHlKVOUNo5sPyZdPHl+SaNUg07rae26n9J7p4bd
Di6FSbMivsnEvRlDeuUXmOBLfZ15js5IxmbKYoz6ZebwBgtK9NsoiKhmtjnsFnobQaz1qY+oy4UR
spKxpM2BRKnVbbnrnCFfsRhdRowpi2limEJG3F5FYzuu+l5/6NnFaAhfD2bbMOIHguvoTFrt2n53
+DmXZc73rXyaCSm3+B5Ps/0WybsfYx+YAklYPEe2zCbk+EIE+6zkxInpZi0LWqBZD7OjbWvDKYgh
RmCmL5aiTh7AKiDpZa2BnS65knRq2KoQZJgBXzndPSMcGkjS6kGNysoKAB3wtZMYqW6zqkCNlYtu
VWhZiQCrV0u/5j1Nq+5ckj9eppPMNnOvbcFjHOzC/JEnPeYwzggoqDaQQGPnWgS+pjT+6PFMhMV8
mc28x/MgCKMn9VOmIg5EUlX37QlML/EFnY7cMO2W2ox1R6Z4bhuJtFe2CbkBk3aB1rlJAxLW1tAM
K3MO15XIvc2gyffKpN8R68XFhGwtKm0r9fyU5/EV192jZSGf5qI5Vj2fmaBrrqvYAWme8tboCNlr
gazYsKY2Sbet2BpdO8Lc40sNfnEiYV8Uq7TUtnWi4U+UzXmGV8JvDym+85xbJLozw0C5rqd+JPgN
3tgkF7mw5BwvMtFiZASeTyEb85GwgbQzRps+Kc6hCF6mqp82GczokJHlym71H6ICaAL/f2VkbFxV
63DmCG9CBhbGqLwzI8YO/6N2BtCNfcN72Dj7sMI1g6/q1HbNVSybSruR0s3mz2nM0p2Ld8FPyx/0
EBGIJCLUKDdI0ak29tZ/lql+29r1h1dO0Ehow51DkPrOqmyGg99yptHNo8yiSyzlYUyaSyGz675g
xlA1oM6zoBv2TmB/MSfquOEPltjGXeCCbin6+c505nNYcWM2iFluQnWLHiyH1xXUFECZVPfsiQv3
wMW7tp8bdQ/PO/+h4AaYcUGvzZpLfWvjRrBUk8M1mRssM5gXJru7YbHD4NCuTNOmGTCmoTdACLCa
9gTLi6MZgyCJVOAa7jKYwruZBsuFo9SESOkKZk0mVeRuQVTP4GKt9AcLIYKm33BXKW3CVCqFVHqF
1vHJKUo8P4VSM3JkDQ95wxXFl0TuyJXuQdPyjxk+jW2kqgEHbcRWKoleB+7CTco3D5zUiRb0czx6
LBO6fk1QkYfBrYwrGmU+rdkd1/o8fHYNTay5M95yDCr3VtG/MEXYQH14mmIXGEC18Rsc8TlKDNOB
RtBjEz4WEJyw+3A39CZ8HpLpcX3tx9lRh0U5q+uxXQWXxMXeEzvpThaTivLYDx5+Kl65X1q+uDd0
yOURnezk3IwSLGUyrivNPI88Bteu9G8ROnZjJqiDzHoqkjIT93liqPA5aGG3XfGzMnxIGw5gcfUa
VRxh24lWSBKrayhZX6H/HnMZaFrrNuU9YR8wlmZYZNzKveu8NTd6RDdo0KdigauFztl5AFTTJ1tO
gFjckgzFqtU+Yr6d59GMaNu0X9vhJQItCLwq7o9CM7gJhMa0s83xVhEoaCbgCCljY9V5RPbGitkl
Mj8FECNUdFhV1jHClbDsMvcFkGa8ZzlehCOWlZA0nBZVd2ZM8ck81Zj5nG494ucioN+8pyY5VK2x
trXtggWrqjPXmJpPTXnX2eNJ6A3ADotGFfpL7LS8MAjL9qUxXIXteKuDjNcCa2KW4B5l5e80Qxvu
o3nqNkNnfqY+nqrGdW8YtpBcVsjQf89Tv56n8OH+j+cpUER/cVdXDt7Xpv0//1sDKoOvFvcIkSNO
QDhK/qBOWwZXcg5voMcdwDK/W27dX5AP1bDB5Yxjw9j6w3GKQ5Dpsdhw5NMpg/4nd3X7j/7v7+MU
cSguMJzpMNgqatjPxyk/0CQV7V55VeBBhELuAGcxM5PW1OIxri3KdhMktsasAe6ntG2SEN5XtvHV
szFS/5MPh0F1lXCsSEj1dbtQhmvYEPbKqtFzZdEBsKUmK3GTtyGooflCvkIhhaiS0Re8dvESLLRy
8q+jKn+wa9AY1WBNfMzn05Ti5Qxb2lDjxyCx7tmGiytXwW2lwtx2CnirY3Y45DBwA0G1Xer7N+zG
I7085if04W4TmjwMBU8F04NjUo7TRh+LtdaMtxxUrkb1IGE1IVPPkyqqra0etZ5nLnfru0g9hKTn
z416LMPW2qa6H9EH3bxP6tGlrrFfu+pxtniuw7i6E/5EpwwPPDeYRVPX8Z5+iBfDiFwkw+HSh6pn
bg5Jzqu1Y6S4UK0mY0p1dVan9LTOt8H3iqPWHletQlkMkDdnYfLL+OCrlSphyZpZuhK1hsVqNWNJ
2g5qfavUSqepNc9Qq19HDX3HcmipddFigSQoyVCaJRPr6K1sPkwWUpdv16mVNVZrbGQ0rxF53mWj
1l/BQpyoFRkHgYG7EwSzWq25SlO5xALusZBjTJLXVW6cK7XG62q1j9W6z3jF3M6meS/UnpD2/spj
kyjVbsFZCN8w+4fDRqKrHcXjxB6wxTSyvR7YctqMIjS2IKn2IsOOH321OxVqnwrUjuWzdc1sYVM1
PWE23XBEeBFqj8ut/pbDDJoO2x+vPNL4l332amcEoUFOyJiuCUtbuDiis6/20d6q3wy1s7a1YWK1
ZDARabm7rlxQi+upaNAJ5o2tBhl4EstL2GvuoVRjjvF74uF+Tz+skpwTJi8OP95w6G1r4QXupi7H
nUIbTrY1rKygfvYFIWMxFcwpSl4COyvawK4eJjwUNm+xFwZbLY/mB6uUxkKYmMqt0r3zKufYGtNn
FlVkdlP7Ngui8OjM/XrO+4sZYcEm3outF4tM0UQfyVz6+JPdDwIqhNY92Mx27zeQhpubtpK8xfWZ
xhNvhZuhPEiXQy3MikWVYpyCes8n3APePU58xdhD/x/CaZMYwVdWBtdZPXX0/7Y6/tpOLp0O6YRq
kWNlFvp61p1qF3YzXdD9yg2Kw5CYoCkD8zmh5VA1/rT0e2n62Rpq+1PXg/Re6qLcZb2He8LIIibk
/+5Ov+5ObAl/szu1r8g7GWy/v9id+Mrfdyf9F5WFdYRtOv/By/5+2YejpjYlwRFXgRp/2p0U+oXq
GSCOLtW43//qt8s+s1MFo/0exVPD6/yj3clS8+CfZpu/XvZRHNgeIefqQuev/vPuhOfDSusxk1cd
kJP5DDXWTi6G0BNz3cJ8uQbG0LdLjHUXu6yuuf29izAa1rWZ3/cGN2Bw96fKrJ+ZHR2ypriN83jV
aiaOtyQ4e7Z9JmqeLgt32NI5GZKBS0+RPjzOSfFJdmJcyN5sqMB15I0d0tGRM3uMCCd2mH/olGd0
krXJuWUIOrKbr2qrL4w3kpILQOVhRnUn6JM9iZs6PmAda8NtSrPpvNB7n9qivLQS7GSaDtnB6cu9
G7v5tnIp/c5oxLu3gpYlOMiHpFv5fhiJU53EzXMyBMWq663c3PRdn8xQRJKjS6UrpQK+3Qxrt7a1
lf+dU4A+QTtN9Z1fyL+zDIiDbx2kzMWQFY+uCjy00QAXUUUgyEKUAWxMV8UjEhWUsDp5jlV0wsSW
BNAsXldzQBsu+QoZANInb6HV874lf9G7+bLohz2L24qe9dM42CTKHNQTkht1Zt5OTfxKqdCRAIdG
z1137lTYwyX14an4R+0bt32n7R1yIQwbL57yvln1IteGHXByAC35DovrKfSLS06+pJP1m07exMdC
b5I/SWkgisijBEZ45cDJX1RZeZeRWHGLeJWV+nYgyVK33grj5B7e5WOufJ4kXnyvOWQqAoNV3SQp
+FWAahdkZCyyMoPKzJTkLbirB2Rp/LR9pp995XbeqiRrU5BFonD5ykPSYPO+FEzdG7I58yDPPVkd
6sgu/C6XZTJsKL29JAGwf7I9s2VvOrI+oH+2zENfTDvZMBE4l1b7FkrCQepXH7r+vagNmv+MrUeK
yFBhCqYZpIBoTamSS+3QPsAWQW/Yg00OKUPrJSAjV9h19w1JJS+GwUdyid0TmE72CPfnQeoRtHRt
E5T2CQP2xiT5pCdQ/5zJOA1kouhIaZc+KamUtFRAaoqTKFWDRG5IU2kxyAnSVbLhAIeB87N2zdve
H29rFcQKwt6+Yfi5jZ2BkFYgoHSa+VWd6ckeaAhZrtiUwHwx/XHCG6srHalhMPhIdaqmWKkQldIj
SoSJCYFCR6gQuQVyJbwZlYIxoqH3WHRXFuJGm0x8/FA7yjLYgj+aNpoVvMx1dh6UMuLl3T0QUqAh
FpggpZ6YSkcxvhUVpa1oUT0uy14riHgY50CIW6GUGKbn7SJR6kyf+NcJck0jaN1Q+k0JOoZ7mpts
oKmcW0QepJCljeijAxha8+ngt2VCPqPW+bpitr8sEItMpRpFU8PcGt57kJ4sZCWqwta5U11KpTcN
Vf6ORZpfxqwxyEWTSpQ6xYjoxs68vVS6FY5rzAtKywqUqqUxR5JK5zIjG7UE6SuPMYWmiGGMO55a
pY5NSifT8vnSqbARApqjlDTNQ/gosfqOcYQKgdzmILvhJD+AmNt5WpdtSLiVHLqHMwoxMwql2uHz
JUaulDxTaXpDXFabpJtOUul9jhVfpQiAvdMR04rG+9Cx+bzTVVkgFva4+QKlHnLCxzKJoOgrZdFX
GqNQaiOkvuyIUTT992b6K9rZ/lulH8GVtpzpv2/86st+3/jNX+BQ6Aa1OGpM/KcuWkd5Ab83fa6D
/5H4BYEMJexDgjOZRpHW+K87qf8Lfw52ghga8jyMjX9yJwWg/uddH4aBT7zD9Pkf/iq80h92fRjp
TlU1+XVBckCcG7NDD566mOElZoXB9LEq9wxICQG9I8W+zKpEDjTRnVC1cpb7NvVgkUv65mqk8EoV
0BGayEhxuRe9pZyOp4dW2pJkYCDZOODuYJPGxLygtuOiqYI7AmgtbmB51Uzth6ZK8Gx/+BCqFi+S
nNZVUZ704uOoqvMsPzlrnD9qXdorqer1ohZrMm3i2cKdarJi2NWpbX3r43Yz5+m01enp00ZjEw0t
sYYx3LlueymQgwGaMV+zq+F5oNg1a6dsmaTGnWW3T6HHjcpXvYCGRUNgGCP8MB5hT1D9gQZFgszd
5JYBONEpCF8xUXgp6P+MZvMOu1C1iLr4ZjT1Q67bn6LNt1Y9vDYiPnLRSJc1wNkRd03tt/zX/i7X
66fOivdyxKNSpOGTbJwnP3mzBiRBYb03vv9em81VPcePthzfU0EAgLT8zAzEudb4y2JnGnZ5FFPL
3hL/n7Uu3KDj39GTfcGTf5kZDywTneTEZFLFbVdevk+MplrYBgw7hsjXmj1ws1Dlu7bGHTocjWMS
OeE20TpnU4X0fVSdvvaa8cFptIM5wIjw3fbgScINOvWn5SRgKqQVoIWyMLdTq846iVzVCtNUTpm3
Td2oXiU6wFKnD8a13ZkgcWn7W7qTSY3J8CPwXND03bWjd1j4ClK+ml9ta4HNxzQZ2KcpzCTmQWM7
hAsxzPhb9Xqfa5Bca1MLtjxowXKgR4jeh0vEr4L/sn5LtPqWBOA1AMB9mIDecswE1zXQilbsfAND
czo7D21SLfQ8/MG1+JPyaA1PAkdXu3NU0s1ni+vmpyKhbSY0QXO65aPWdfBKm+FBo+6QwQ7Cy4y8
sbb69G7STMqDTIfBkyG/cqpdofqWZ6hGV6kgSdlOo7nw5EDgpR/Wo4fRzB0oOtCS2kMFiCkdSv3d
0HbsMlY9vrZBmay4vaP61qDKrTR57NKVm8UPSA04cMEgrnnWVkL0HK5at90WDdFPe6DHZTTMYGnR
3jOVw1kUOPjzhPL0WdNu0BMirt0VhyyT2tgCwDEOEGcZU6GyHMMZ7US+pmOlq8/anbAO2kTlIzYN
LaxvpdusrWlMVlHkrj2Kl0iZf5EVYybkiq961p/9xj9hEL6U08RMwXAX+KeitTMxq57y6jbqmtdM
gHCJpz1dDFjKfdhUzPPQcdHsPfTo2pu+zKZ+CbXuOMj2Jiu1c9sn6SYu2tWcYm33md4Yep8SVxnM
RdLhcOv8qF/WbftVajlF1OOgBDb3Na7qF3hB4F2lli5MOZJdHzzn0HaEIxtb8xhMMoqkXpLjGYCO
PnPeW8ND33HMeMWCfGy0emTm05FBmPtDS8/W0qzDWycaX4G3wQ0UKVO6qsmA5bIFN6LaOTmeM4iS
yoF+19oVrDLEg2xERiCazPG7sGseOskj4TnnrAZ4KceA3kuLKUcXjEtXC++CQFzJ0r/zA7Gzxsmj
Z1bR0qfsNigRSYD3bMLWy57qoYnposJZyV0SZVw92HbySNlJy6VnSDcsq2TbzehtLCTwQBFv+qE4
sKDfTkL2u4rpJOnW7qYUvbmIbZtIuudtI0h3y76xBKKLvA+84kCiSCzTKiO+39/EtiioBCGGEcNz
dmXNUT3M+Nq+v7OdxNvNRffGTLBb+GUdLMzCjJZOUpF1mrUvX1B9C/M93nq+dlNM8s2xeLarzPWY
8niUgY64WopgLrCz+6DvZPVEB0mwbD1yBvk04uaAZLOIiPytJGu2XRb6Jon1dpOpmIkPF63kg8RF
bjO1Yb2gfEuBcWEqDxbZinbEAOljKl46fezsGaaCfhbIbkSoeWig2nSif4im9GZgT1y2CUHk2G4S
5iZ2SJ3SxMfNw3fRJfwZGG+Q29pMglskZ1A5ksGqO1B3MBAgS50H2gK2pLE/bGlf0972OTJdAR2c
ELBpOZnW5PCcrjhhua+orqP30NPpLHGLHZHJfZuVNXqW2ZF00OUTxsBs38zVg2Xy4GeF9aiRI6cU
4GOoso0fJA9s9voxdojdsv/vG9z63ODvqUzaWVozLGhdGtUNhsIWMewCZDSVfuQWDu0Rxahfma77
Ho9SW+WEFpeVLOfNJL1bI8irtU0hNPZe5N2ypBGmz7pgr9fTq6PxYWij3txAN70fCxcEU6Ad4jB8
rTFjh4TTsDOWZPUB1BVueS1TbI/S18M1ucT3kmIxLmvxs9DJZCeVc613zg8pnG1QZuNuDq2vRKfw
2+oh2JlmHVEqX0Qbx+U43jpw3XU58fFLjBav1uQviJg9O01/YXofr7H1QobWWLWjCZcPWaFh6WjJ
q16YZ5LVMELjIGF4XB7jPuOtbuvtNBO37yzFYdbTXcIIaBl7hFB05QWqzKBYyqTO1o7vfUShNi4q
L6w3jM71pcz7fiV1At3prFZV5xGmpYELi3KavNLuqTl4qH1uM0XsL+WQYdIilxl2XrsMgU0jeER3
rQN0gNP8vgu7Zpnr/oMouuswo02PcSl3mlIDBuDwPFlQdsdQy1bMsPcaJyfV0aODY2zeyjDH1cR+
zrvFFoLBla5wStfjzwExWCudL0fX7jWEy5WbK/XYT79cpfsymHjvp/ros5MvJtd+p51zSycPtXyh
cQgKq8By0Yvl6KSPYZ4TWB9rc+lxK0m0nMjWm+5RB+wTK/KEJhdGlxxKBeYouyS5mDGlWoRHFwwE
n0NqgGBAJPcGfcCotNqtm+OeNineEv7wOHLmgv0xI6eXslhXrRUuGSQzc04rfhzBjMMbyKECaz16
KK6eNykybgUnfhi+HNOF9Qp+eB2m1kbvu6ey59GNauMmCwt1WbTOlhPTaG8n9YL5+p0T8zuyXcJH
MhpZp+viPIqa7LsjDobXvsMvhR0cA5UbAYLnnf4wZ/FhnLJ7jI35aiAeJ139re+ZJnhQFRd+C7hD
Zt2pbOpNoY/eAjWFiyvxKT61yaevqBm9g0A9Fp9zXkMHKQiMovaYZvFE78qqdZOHsmdm0HDKc1OW
vqjikxn5g4vHJuYv2blbfay/nIgj3f9l7zyW4zi6tH0ritkXorxZzERMezS8I0FuKpoAWN77uvr/
SRgJpsmRvsai/wi1FpIIoroqKzNPnnNeY2U99kqc+Vp4lAHyx5R/Dl3XncHg3wCD/BHWzZmuF2v8
CZWZh+AqehZESg1V88K67H1l3hsJwPIiu8JhewWI79Ch0FXI4XlNT5OGzADnEfSaG88RlDgGKH/Y
BPk0NuQWtn+oDNPCs9ToIk5H83ZA+cM+LSS0NS9io4Z3NojGrZFL/1J3nnNQ6sG/rj9fNwDNHrak
oPzWSwqKgRB0M8j9qIiTN2qvOqPoAoAeRhLAePRrFe3PF6CZecCBSCSbhixTFxa2Qy+1Z+PAor+K
0hpEIA3or/JPstCPRh1oIDmUkrkHRUeh4L1RB9VGuUiTrDkdYwBaKLt+R+THF4rTFhVcyN9lDC3T
DaZD5p4EWDTMDKWrpmXanidVdmjRWuUMBzvMaQucC4IjvyECW7AXEYy+kuXovuWQiHBFS1iRANG7
nXqSjYI8KpveNKlET1b+isX9d7XSb53Co5rqO/rCFWIdjjQuYl2SIJL74FYREbE8CT2OPPwC1Ox7
PmQ3rU9qldWYSLim+aXErzilqVs70lc3hc4ODw+ywUkb+cegbL9Xmc2x17HOS824i9EFnic8GM0+
vHKAxa4bJfuWDPKAs5hG77MmZSziDlZkdzOoeTn36m6h6zAS1FDrpnoXxECa7fvCR+jEjs3jqo6v
O1LcqY09pxHZl1ng3BeVcw6WB/nAghRE9sJ67nbdqZ23t3KU3mH18M0tEEDL0jvKGfAQotKbN2kH
DdxKzr3cWeH8MdFD73uswjvOYzufdSbS212e3XWKcwKqup4lA3STnDrcbMALckHPoJyCfTyuq2hd
6O4xZ8PZGOQlZ4luIZcdpiTOStCRcaH8GejhA1J51xoMftR5bhNvRD3F4iZ5SY5cgqDu0OVWZZI1
tS/MC7OtTnyn/0k5NptR3gdC5srTpgyrCdopX3XPuNRrnHvtILrWPfVno5ot4tTi1w3O8Vi73SZo
O1cZyr40Xzh7QK52mzpcAqL9Bv0polbR0PYzZORXcLoA225MZB2Q7RgtZCsHDWzLy6L2kQqOIFs3
OW8NTEw3VQ2TIkhAHxTOu4lr8NKtOFpwelpTlqD/Qd1xgjr7pRUjZJtSpCaUobnrikQXoKFc9zQp
xypEfpcZZ1hI0tkjk3ioeIeJmnvzrhyvEIrgW1ObiNsuXLm5Gm1tHXSgmSw1hvNTuMgHx/Siodnf
1Vl/a1PQmlhm/kNWshJopTstux6ElxzAgyrp90v+Sk6lcCZZ8GtkOVua6E0rMlKCiE04K5oYA66n
9kMSFsdkri3iQmE+p5RxaHrDMFMboAYElZusMOA4AQVjNibULesfVeOQKZcKctkjsDAqT+qRnkbp
rId44R3GquNrsyjqvqp2VLbzUqr84AvD4NZnam1BIzIDQ1uYbiKn1xb5TTbT63wkwJZx5U/JC6xz
ilKBeT4U8I21ove+BWjNVzFTaCIMp07zCp12gJRTG+S2TA3Wtxzvyi9kIb1g9BdoYaxB3AXavLda
zeBwH6PObGPSe9hYMkIKRQBJeAq2I05wgtGAw8bA9sy+wFVMU2+jTpaDkzjNhWZU7IM3MK072cMz
l8bWUIJop+XuoG0V6UYxp2pkeddybcXVN9VtPSK0NtJwIBEz3e+REfj6iayWiTSJnb7J/y3ZPodL
7ffhkqNWkm4LmPzenwHTEZbkCup82EfZj5I4fzZr5QMozwCv6dcSt14HTPtAJ8SSa6qmCLJCZvcl
YCJtzB8QNKG5klD+M9qP+Q5KJGihOiZZYLxVR9eFj9bbsq3SGkwLIEFno+GvNfxh9DajzcBaGtMw
W7QGdavQjU/0PCbv17DObZRlkNdnPo0/3G5mKE5dpCh/NJqy7qp8EzX6N7cCPJ3WJ/2o0PzTV6MP
dSCSsmHqW943uJ4XLfq6czNJNpiUmFPdH1BviJmZI+vgKBmAFsYRQcJO6vRrpvlHTZPZxyky97Yv
PBpI9CYjbhelE/0wJWOhucq5T/ErL2mswNe57ZQWUkdqntnUSthKoPJEiLydNWZ2b2YZeXdPrXj0
LYpUbaQcGoN9XNfWoeYm1xSjHrATOKl0R8jSX3dDm4Hg8ZaZ2aBNzD6RteaZkVnruEa5xfGNGw3K
Oiam3zvfXFQtG2mpkIN3jn2uOyU9JCDqXXQadjgBSYrLmRXgD8aFwCdK6asjAOAZXkiyER7j7dRP
BEcF8gix34ixHo5Gis6mkyyk0PneE0ONtjnWGzs7zYsLAOCLhKx0sJQzy8CWQ+svByhFfQgjVkMB
XlPAr8fSbau7X01dXpgN1UAHVyOci5IfwQDtinb2LIGrBH4kPB1ahg4n+Au5dynjRGbypdAPgQ4h
HlzbHm34wmpPPRnhRfw9wDmZ3XRo2isfdhb/HSwoFcSzuki/NNyGWyB9FwXktHqXLY1AZmxshTbY
ACCb9xCGEjucbMezbLBl8PPaZWBnR13n3usFUTEwzWs9My8l6HNTqTaPnYQDTmNYaLbk1MmD0r+U
8DUxQBXDQqZU1RfhNerRd9DYZqmbgKGM7sO0/OI5nMBM1aCOwkOtclfpIPgQJbGa8qaAJhaaLiBV
Fq4wWRBBs2xmI7rTxhgt4UatIlWL52nTD3O1ah7AIeQz3US0jeB9m2XJ3MEVQ1h/+xyxqJ8ByoHY
0ytwOisgdBId2cnYk1GaipOfAEBDtyai8NZQoJLJGLMA4xnAwTa84LRBpAWdCmiwx0oSYU9R3Qam
dQyb/DJts2BqBfg+Sso4LpOUgljqlvSqB1JEgF/f87S4sltevNF5s4EOt9y4924rKTOtNVBltC+b
zl11GvA5xXUPLU58E4NJjxqTvehH7BdKhU6J6kUVrgKcwsICCURpHDYwJ6opxVcqVozopJbKdd1K
MzkyaWUACFBEtxS5hyUqfcl8iC5BVSjYfqDdNG6kaNjUrXnt9e11FIPH7e1zRD5hpHojhTWVcgii
3F+QlaHyg+aKP9YLf2jNNYYNnATFeakxEB1MpWHDex3WemWgjZXrQL1hQKuS/qD21UksSye9XKdz
dBLTOX5kGzrIqyGvjWlmguOWLVhSQ2dZk6GkZqUW3VVidRmifbWydFWPU6FGVbJr43TWNcxA/vyn
GnNUGozYpSlNQcmOpUuaGA9VwpTQzSQgUbdu8rI4rWJA36qiP+S5fGZJ3aIKKS1KaqzPOQDjiKGE
C18ey2NXQcgr1XnbjPhRkfLQUcpsaur0m57E2YLiMmJSge3Q1qK+EQ/eytXNfpUpw6Yw4cg7bI2U
oxYF0kE0cPWTsfbPqlhLOOIBExsC7aoLkw6IJFi/Sl6GpX6dj+yVmXKleIU6zUaAm3JmbTwvX+em
D9xFD2ZdAB3OkJsbyRyVKdTLYh6HtGZKg0kdVe631hy/lTVl90r3Vl4sYUmnNEKRNEKvpbnKbSWZ
lRHvV5Og1tCumnagyiZeQgelhHrGLp/5zhkb3dIrfHD2enWNmOOXSK2/lgU6lnHUfNUdrOcUtVMo
mKswzaoQfxnbN6aDzxkw85AkQY3zsKzCq9TUlmMOgsKNlG9dRNnfwfHOiB1UzZxI4CBNDnbql9a8
6Kr16N52NM987YImzISu1xeqTDcBImAQWeulmWanak6zMI+VaiWH5oPCRj9XUEKnrsvSplu5kgwK
J5Y5BvPYCuDD6vosc7rjKo+BVagrq4/ZfoNhPg7KFXKkR342jBNI21+tmhaBXNTroj4VOJvaQIrA
w+YEwQIQL5kTLNWihFheBl+VYVzCmQqP6bQoqK2VJ85gSQsYK9FCq/twMtJRhPlOGdpwhbS6t8bz
F7Vp0xb02Myj/zA02OnpffaApLd/0qX1RMclNzGsr2GWdMuyDgRgvxiHU4Xi/NSveM+Y/pkrz8bp
L3AFZrdau/WIhQbQ4DN5lLDyA1d02AKiwaPHtjeNPgzLsYfR5ed2MSd4hAvS3kViKCcgvw7ZjdYm
CXdk6zQXa9pGUqlrXwIrZ4doC/pvlbSiCnUKg9Vbpb78oA3yA4yNH4QcOER+vxpkasc2ijqRzKNz
j5WmZLOojzGrjehOef6STA77GBfNeZx7b1HpaZeDUofzrvDnBSoVFHnHBcJowjrKPPIEvOhHLa8V
3b2MXGslSZ0Kg57kOu9xjGwSZRrF8g3DTxRX4ge4EOtW9axFDsyqrMxlaGMyaGhWuiDdJ5Uq5Rz/
IxSslKK7Teuetld8ZaCbZMbGTeIUZBIhzZMxOux0c1EGsGhYJ7SQ+oVS59cIZNyxuZ7XTpdOY58p
EJjFJWDoBRucsux0VEAdBfqND/LEGjGyMmvMjMLkzHJgpEaujzqqEw3zsoeizL4fz3xz9OFsV/Ok
RyM1N/UKooa6GSuac3HXYbwLHRcH5lMOubdlmR/3VmxRbpbmSoCnb2d/I7TQ11Evy6I9YuWuQA7K
AL39mxxGCTIJYHYUQm2kHAdufeTG2VcjV24h8hEjUutrpfYnGdkPCsoO3WS8J4BbeV8oR6RTBRvS
MViXenlCX2aRdyqtj8C+8I2cGC2ZN03enoy9P0FP/UesG0hr0Z6stOG47e1mNZQDddbePEkUO52a
CRuhhBmWEdAkM/RVlMFPl8ejptQ09C5A8pgoaYRdkpxr2CTNaHJJyHCV6qz1QfYhvixobird7CQd
pnll6XOc7FaVrtJ1lsMfVscZxu6bcyuH7+GUbbb0nKo6TgoUTQqtwxnOstmU3GUUox3oPML/1Eco
IFAgYIFmLa1NgRQ0/ezQeQQPxo9AwvERVPiYhfyrwSAgJb+uXn5Bfr3ZxpMVv/ZnNmaTPamoG4Bf
Qc3wNYLmsXwpZKgM3XlWJHopX+oHDpkYRoc6QudPdJCXbEw7IJirpHCaUB8S6dM/IHaQ1b0FzgK+
FTQLpCAUjNaEQfJrCE0vS15blinFS1GnY8l7Fcq5VPhejcsW7SHlUe/qjdYDFBXV1nUagLKqyrq4
kVdaQAosjsIM9ZyToeHcRH4hmdPEiodxBagXEIRWp41+iIrbeAW1yqNzrSAvbpO75VmIH4k3OEeK
leR06EujP6f1cakNGVmSOXhWddRGYaV9b6mr2cDWi7YFiI4BXqu3AQZuUoz5QozCUZDnmTqnZ9VA
JpAQa5wElUufIhqcubCSlGdVemfEendqkX2e6Y2cx1Mlx9hrkbm9No3bBoYryqeoAHWZdia3ihEd
t3F4VtZIDyY53uS+c64p8oNR5fcpQcmt5GsLWbi005aGZGLtK/MUsPznDsoHTjI3+uTQHdDi1iJQ
x1WpzOKh+Onb/iVdv1NFzX82WnsVYxI7Z1MOv1kRtAkH3uqJZOUl7EzDXMeBg9hFAoxjVDGZkCTt
px5W8AdcRJXTusjn6HsWE3IyY652Nm4qzmmVAiAcVbvlyDeqyzq1bgZFuo1VJLWz0IfTUteeih4F
2klMCwI+tfEAuIS4BMw5JTLLm1KvtX5m2ql/WUF5mDcWBsZOL/e3OsaVjCKSd5MqovOmS+UwC2Gu
FDi1r30JSfrfzzFVwL3eTTFdNWS0eCn8i2bB2ylWDGXheWhOnRKANh2ZxhV6SRP4CjhupSB+J7Dy
5snSmpdzIvhaX2hzII7T/9MpQ4DN/7oP2FiaZYliCZUPSh3Es7f3YfSI/CBBnp1ytF8PMVbwkVe4
5DWcRmi4O/OidaF/qib1RdeWTzyrdNcK78iMimQ6WMOp48rU8NXxe91nzqJSQafVdb5w7fG7ZbjY
07j0osF3fgW9bFHUL4apVQH+7DtXJfsB0GD4/XzQnCVa5MDTEAzXcZEaDWc1agowKnWpg62bFDWq
FoGDhWaSruhfzzINQlIm5/Ou845VyC9kCDCPWk4ZSRLCJW+L0653tGXhCZNCzbvxcBBXtOSE1Eom
48yXcsREs5yCZrgcXv3+FQvRvDcji/WriWcV+yX1I+29lYozqp2TJ255KrcYDLERQOwvie1S4M+N
DJUTvfA2v//KR0PZ333nu7cp9a1VtpFXnRae9s1wOWVheYlHqrXSkwaRI1DJnkk1xUIyxIjpjYIp
GY7HskHbUTKOs8C+lQM6m6CWf1I65ThXnKiZeSG7453hFd+TLihmRVrkT1Z0/8ZkUU/8dUz+hi7D
ln4iv/MSkAXTUgayD+aRdp1uUDn9szwK2pXghEaGxTTjP//qJ9o4v6GZZxn4+sFKfutwrAGLMBHo
Boyi0lf8JwEZ/uabSQ6XBXqlSS0W9SUL+qbDTbyOlHXZhWmshv1ZXtMZzG2kHNzyulYTfxqqdKlG
Jc2uA2grNBaS5Kpq3HIlyUqzakYXTy9ovBjAu/Wk0LVTDfOUOS2Mnm0lhPBtttNalUkPi/aH03T5
dTbgGAkcqj93SMmnCHxaU6dxs2u9ak9KmVZAnWLvEfjZGe7rZCZd6l2icoSnu6Fqc691lVmlKDcJ
On+rGKfPZcjuAGHkUBvsa69oykWvI9YMcSU4i4M+mdKe+y7JJmClzv6SjmpwU1CmO/HVIV2Q9aHG
EBFEFYbgLFBsd0FhxVlh+SmcKlVzUj9ahOeYhceeRn8/HWuQKRaoU3zn9TyMJ2mTHDfFsIwczI05
+2AF0UwdYUhu4EwuN/o8sjx5ruJZHuFdjt/JF0bzJBOm5rKwN6fmmgCh978bOJ/3Jni1DC90r4i+
lkYKQE7YpLv4pdfCOB3fT3BcKYx/0/NW0Uikl0zs3IXhep+aaxP9vEkNjoxMBFf2Wviz+26HaDqW
7bxotM/N/CqT3FMdU3ebupGG8jFPot27Q3UuVfi/RzZVk7IeZZq49qk2OtBr3fHUyHildd7PIHec
R4n2AyIMlJLoTnJzdnHfX0dxf2YKD3qLWhZCIqi9kXUeokFpTOMGcZ8O83pwcvVUTYThJ37Ewt8+
E073VBW/5d54oetISRWWP5H6UYKRC3+D+QES1S4i+4zEOdR+CD/M4dCiTzrH5eIIaZIxoaJXejOk
zPE8towHCQdi/BmAJEoDZqrECNcJDbSM4jVedOXEwpwD2IxyrFnU0+OWlNuVFSK2YQfLwYjQioap
AmWT5NAw2mlrl8AMvQglDspxg0/tI0iQ1shCZ0HPnN5mNDLIHO8OpaEqyMmw8e1Y4FOZmap5+WWc
pqilBPphbztUHZGuv059F20iHUnMLO0pP4Wc8xwTuLIL7EiXU1Dl7sMA4jcAt3wYGcZ1Wbvf1TSt
p4hrTi3LOaVCGJNwG/j9do2MYoF5KNmlfkYdJptwOKmnuRIgwF7qV22UZVO3No6hUECagPI6lSVj
XcZNsFaG7KjQY+WwyKiPebUzjbXbSnHPpM5bdBBWF3TOlzXWivipJuWyGoCeA0+f2UX8w4+NhZ3l
LHWWSZ5bPQObfM/9at1bXX4YSZY9wy1VOfNx96ZlLPmX1NyQfNLRGWts97QtQD2FjjlXBwcfjhTa
j8YRAYmW/mJQAOChxElLfBjtSaOq7or6EvlrlenLwXOdmSwV1WFepEeej7Pv4DXaujK9EU1yRVrq
WYG/QJFfmJJTLsZoWCPkeAveVTtXQ8oA7H7RoRQAyPYRDJHACHi9587NMP9WWKH3s0pRF/FZxhdW
GD6M4UhVInW0unxKWf6NnwYB5zfxs/nBCem9r5j4nVfxk/Cpgw0AQfOo0/RX/FTIdU0ZZzA6iYIU
+lf8dPgJwRZEjvrCIH1JaAmtIqg6/Aj2Jh3BfxI/Mf74ED/RUgPWQxLgGKaC8MGb+BnXZS0jtSGf
1WF26zqpsTQjTTpSpYZqkK3kFwbbuTCjdk77yK0WGdz6aV3p6zIzUoS3AVcz+4zjshybCSsC/czO
XLZdcxXbfX5SjhJsMFmnMXWnoEo6U5MOmx5UTUazO3Rce0GdUZ6hmLlshH9l6gzJ1Or0my4tV3rg
p9dkKRhI5fmd2dnoxeQ3paLnQIY1UlWvuIsHJ5plFWDUoutWfd73wI0zP73A5mSphLp+LmnmkWt2
zrzuZHeadJILkbpsMKWg6OfWG6vx7tzERhl+gGztDXlxaKcOfqOZdInuSXzuQGJH8AViVawBTHEH
y5q5+HlNPQngX+oOdDZ1XCQc7b4KTEpkEC3rgJKeH90GqnZdZ04+k0L1IY+MHitT76YEOBGw6huT
zITDwMotnHv24RT5Nn8VOf1FKocnFUr5SeodhaNzrSAugP2BYLyo8nVuUUwdeQm1n9fT2AWeqtbG
ZmiqflpZ1a3d0SqscmSHCrApCESd27GuzHw3uAgcYLhS0kGoHwZU6iGl/ZSRiJORiiOeHrVCO04L
q8vGdMpJD84PdyMwnxZSc6FJQxSLoJkFIl9o3jYFL0y14IfUcRWhXFAm8yCt7DNHzYdljN7whGrz
IYK7DuIr5YNatBT/R8u7kAR+fwyMO0dtMcMa1J9xZgwm9dBMniEX45xSZPWmaVpCzYvwpKgN2mwp
eIu1hy2bT0d2Ksf2GepS9dQ06TZ7A/yLCIJepQCrKtXTPMsRdoUmOKkD8jSlQahLMaRl2INlbZXm
u5n7X6IIRauycaaF6tNRV9HxqjwGN6a3DjFh/GIFA0247EdC8RDGn76GWHGh2PlPWuLzxu+XDYq7
05TsfirXpXZoxsVhbibrvjbmuqedDUp0Bviox7QFpKuchV/lzr0xEqla1ZGTTX3Juilrz+C21WM3
px4h2bR/iyIRRk7yZTLUa5ngVUThZRB4c7OJv3Vy+cNwygzBW1zMBmDPdhk1M1SnRDqagiZncA1d
Wrcxek+mTELcOEMEnNc6RkvijlxZm1X18DXX1GbSKvkir0TTvB6L2dC3h5E7ylBb5dMu7n74jPXc
1HJ3mppBAcouv9XS/MThJGza2SL04QLYGJzVMt4apaCMxF2BWi/ROgqbox6iELZZMXzwwbivO+Ok
KxDfTOzwuHCBEQd5Ek3pMi5Dv/puh8URh+obJRq/KFJ1wf1xeNONidM52POhFsQNz7yx7WaOEp3Y
BXCmZpQvK0f7PtROfubpqMIFvdSvaWZKh/RQADGD1W+j4kpvpAc/jy5tMzXQdIN0MNE1tzp0La4y
lr6xSqgrly5whFCj/J0k6kUoU4y3Nd0EDlaNEymzommSMYkHO4YT4llneMgDd+iwrUGQDsKSB8tb
lWX82eQ7e0SD+DG8/H8QZ59vcasZ55/+T+Kn5xmcnOts/mi2+crO82/9pZfi7PYLPUfaLe6er4Ow
Ab71XdB+vKfHe/ndJeINrInmHudQDakgQ2ffUBzMn/lQHYuz1Hv+MeU2IrRiUQYmL378vH6N22/+
o6npr0bqPx0EDhBvjyLCV+E/GAmu82YoqLYDCeZE8vihzPRmKHAKUAFIWULLgpPSq3nynz3f3xmn
X7/FD2Mgqoo7j4GDRKcDrEDhauIjRuj1dBBuCbJNEUJU6vdyEAR47c059u8sibcTwUA+C/aeI5zg
xOf9mlCBy5n8MUi1PR0EcfrdcRDoTzlofaMD/rQaGNY3M4GNgXo2AmPW06zbw+XAe9t5EIQcDXRq
nvHN0zMFAEsKcfKnffPpq/ZvDITr4I5jAGxUTAGY+79YDXQeKb7D6WfD5Lv2bxDELrbzIBiKiv72
r1aDqB4TR9kS9nUmCKXjHQcBxo3Q5TfI5B8/77cEggMQYRJ852kP3sOZQFV/x0GwBYpapQkPiUh8
PkRIgoMtYqj+VFDZv0EQpY/dBkGXD3QCg/BdffowrO+3R5MfCwWwx+/av0GQ37eL/vkxAR0zOkWO
pmETKT5blgN5sm2A7tjTQRBNrt1mAvkDGivgUfRf5A8ESs1WFQXg654Ogrz7clAOLAEuUMV0EJ8P
mYNOiNQ1MoenSLR/y+H5OP9kPfxnWvd/JJJvTs0I/Fi4xnBwfo4OxJu3e4JKrRdbADgeezoThOnf
jssBtwIDiAlCBE8z4cMgIIso00pV9jY6CIjWjoNgH1iIQtHofR6DD4PA4VmQY8E0P4aPfT0y6bsf
nq0DjQyCNOF5Z/gQI5QDgGwKnpD7mk8L0cwd5wOka8hlBk317YtCpJI4pSN0va+D8BzBd9geNfOA
Y6MmeuhPRybm1tvtEVcuk+MCdbY93R7lpxvbZRAg5oOjUbDEe//0KsdqbGMYoD19emX34GAcaNZj
Dvm07X2oK7EOxImS5um+npqVnetKpA6iP6wDVX4/BfQD0LvslICXHz97OhGExv2OG6J6AKwaCqSQ
n3izCSBqgYOyTd/7+fywp2Og7B4ZGQOe30BqY3sKqRgHHBYJGtTfxGdfDwnK7kV384AVT2dB/8Wh
UfRg+Bm1pb3dF5527V1CAydnGZtj8JW/OCSIwotjojW6r9m0QJ7vuDHYdOOEAs3zDvghkWQmIAtp
g4nZ10PC8xFul5lAFGRX4BEB8YiPSDPf9aDQ6VEwI33K3Pcvm35ep7sMgn4gG6qqQZt4Wg4fIgVT
BTQwdnlPdch93R6fyz47DAWFBYpLQkcJlQnx+XBwkA8MGB46B6c9DZfqzscm6mykBiQPCHc8ft6n
D+wMjokFDz7xT6O0p0Oh7V5eoOTI4UlX9eeh4K2/3R+woHSIpo7zlGrt7dLYPWhSXpAxhvozYLzf
Jai+6ui7skmgrcJnX4dC230obDTf6FjTs3+a/8yz97MC0iT/kIHt81AIhZ0dTxHmAZ4sj0TQxyeV
tywQlL90ALdPw75/AVQkhzsOAvEREqvOofkXgwCahw6VzI66p1vlcxVgh9CpcVxEDdTW4C49frbM
BMTYqT6KoMqA799M+ABL/+d9OgFgUEgkOTU/fnjf73cGg7OkMCDe00EQdYIdl4NGuk3F3TZ/Beex
6FyAZsHUYU8H4bkyuMtyINHW4M/DU3iaCVsOUaoj6vHPjdH9Ww7PiLNdBsHGUPtxLjwPwrY9QSig
4p+x1ydJffd0m3I0tBQKjk9Hgo+BUj7ghzLHq/0+SWq75xekD/iz0LN77tF8OD7JB8A5yMKey5/7
tzSE+9uOm+RjkgU/6KX6+mEQODOodOvQ8N/TTVLIIO84CBqIDtmAaPy0R37sUpB0CL6WYu1rDUrb
fWegFwHMmTr8cw3q/SZJoR7Ui8xGuqcTQd99S9BhvbP3ESv+DARvzk2iLO3ACUG7Za8DhbZ7MmHR
tBLGVJReXx71zVCAfGSsQL88b0L7tzsK2ZPdNgbRuaNPQenl+XVv2R1FPsV02NfdUd+9zEAb39LR
dX8pRn6ouECQoELPEXNvM6qddwZmAl05kwL1L3YGwZRhXwAP/VSi29v58JTw7XCaZiggQNCyRcdr
e3Kpgn8kloCL29dIsfu5iQwbLTNA0c/z4cOigAAOKo6S7N4Owu4xQvTuyLBF3e3xw6R/HyMQUiOT
2Fvon757mQFNcB1HYsP8Ve9OgT8mGlfI4Yh4tH+BUkj47BYoNaGZ7phUH5/3hPeHR7ZH8B9IEQha
0V4OwgcxpX9edYM/ZtHL50Dwfh0AFLboWwL22den/4z8QdQNNPlX3ADRyHeosZjP8Mq/tQ7+xl/6
k3s89YP4/pGaHDxU28jJv/oLL5zcjz9/xbl9ZB6/+ZuCqvz05U/MXPH//7O5T4J0FlR1GdzV6uNi
f/XTl8X/+E3Pv//8iB+//M2XvTzXyx+ugodyU94hRPDIxX6+0dNNAsP5f2P+db/Zzhj+627++7/e
3uyrTeD3V8f+9eH9xUW16OXPtnC4X59Cf3vxZHOflS8XOrz/7/+il4HFnUjJd77zCQ7h226cm9v5
2tNNvGl5JdXLtV7dO5vh7tfH76L68EoZGBbuJ1w8rcvNH9Osqrd9BdvZzl8xe4j/OM3KrePPQWTn
68/jP2ZZyeR5udar8Se87Xz9RflQpdsuTlDf+eLL+CFNX67z6sY5pu587VWT/Mji+/rlUn9dXiBb
d778YZI/lMEmfrnUq8t/xpI9xC10y6U/Y8UePZRbxlwAanYelKMg9bZsBAI3ufO1jzfRlj1MYNA+
4dJV9bBtTD5jgR5n1R//m3oP8cO2kfmMJXqyuWcDfhmHVxPxM5boyQaT+C3X/owlKq6NrcGWWxco
qp1f68lDep/dBdt2L0Hd/oTrl3cP9y8X+mvcBfNv94tn3PvLdV5d+zOW6Um2dUw+Y5Vy6fqhfBi2
3PlnrNTTTb5ttnzGOj19aDcfz46GLKAZO7/Ns3LDFvByoVev8zOW6Hm8uXvYcnYUDeSd7/wcJ4Zt
hzvRh9z54pcBR8cquN8yMqK7tfP1rzZ3JSlBWm+JpQKH9glfkP4xecBzcNsXfMZSvdqILyjTTXm/
dSMT/a9PeYpZ8OBte4jPWLXiIRasgLugutv2HZ+xfMV3rLNN0WyLVgKJ+imjdNwE1R9nP4Iq3/Yc
n7GYxXOcbOqHbdf/jPXM9evNH5NN+WOz7cwgeomfMVJ8xxRj3y2bteinf9Y3lM34crG/9lTR+dn9
C/zN1pxQ/5RFTQ1j69B8ymIOqigYsuZlEF4NzKes5SzebDs9iEr37qPOwSTZNmc+Zf3WG8Se401T
vdzpq6H5lKUryixb4rCwVNl5aK4f/M22oTE+Y8Fec8YP6i2HNtFK3v3Wf2fx/VjF26Fwdt381hB1
18v/3uBn16v/xqpg50v/WsX595feVpb9s3nzsVj7omy47dfe1qLF37iLHzbl//w/AAAA//8=</cx:binary>
              </cx:geoCache>
            </cx:geography>
          </cx:layoutPr>
          <cx:valueColors>
            <cx:minColor>
              <a:schemeClr val="accent4">
                <a:lumMod val="60000"/>
                <a:lumOff val="40000"/>
              </a:schemeClr>
            </cx:minColor>
            <cx:maxColor>
              <a:srgbClr val="0070C0"/>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FD1EE39-0EEE-40EB-B0D9-75F2B395893E}">
          <cx:tx>
            <cx:txData>
              <cx:f>_xlchart.v5.2</cx:f>
              <cx:v>Sum of Amount</cx:v>
            </cx:txData>
          </cx:tx>
          <cx:spPr>
            <a:solidFill>
              <a:schemeClr val="tx2">
                <a:lumMod val="90000"/>
                <a:lumOff val="10000"/>
              </a:schemeClr>
            </a:solidFill>
          </cx:spPr>
          <cx:dataPt idx="36">
            <cx:spPr>
              <a:solidFill>
                <a:srgbClr val="0E2841">
                  <a:lumMod val="50000"/>
                  <a:lumOff val="50000"/>
                </a:srgbClr>
              </a:solidFill>
            </cx:spPr>
          </cx:dataPt>
          <cx:dataId val="0"/>
          <cx:layoutPr>
            <cx:geography cultureLanguage="en-US" cultureRegion="IN" attribution="Powered by Bing">
              <cx:geoCache provider="{E9337A44-BEBE-4D9F-B70C-5C5E7DAFC167}">
                <cx:binary>7H1pb9y40u5fCfL5yiOSIikenHmBkdSLdzvOJON8ETp2W9S+kFp//a22kzludTtHBqZx8TauZgaD
RCp2SQ9ZO4v/fuj+9ZCsV9WHLk0y9a+H7vePUuviX7/9ph7kOl2pkzR8qHKVP+mThzz9LX96Ch/W
vz1WqzbMgt+wiazfHuSq0uvu4//8G0YL1vlF/rDSYZ7d1uuq/7RWdaLVL+7tvfVh9ZiGmRcqXYUP
Gv3+0V0l4VNeZeHq4/Y9/PvHP5JVun5cfXDzOtP9xw/rTIe6/9wX698/bo2DP374bfxzO6x9SIB7
XT8CMeEntmnZ2GZEPF/844ckz4Iftw2E8Qnm2OIMRn751Stg5V0cPfOzenys1krBmz3/f3eArdeA
r/HHf/8KD5uvsQEgACx+//hnFur144c7vdJr9fFDqPLnz1X1br551T/vnr/Nb9sQ/s+/R38BX2v0
N69QHn/a/3ZrG8j/AjJMgFWzrlbqADDbJ0gwjDDn5vMFaG7DbJ4w2xSYWGwb53cxtR/p3SEmYL1L
dGRo/5EUYbY+CNRMEMoQtV5WtD2CGokTDhel3NqGejpH+3Ee0U8AeURxZAhfrh5hNR8AYXYCa5lQ
zOnLYkYjhLF5YjJi2RYS2whP52g/wiP6CQiPKI4MYafW+hBLWJxQBKLYfGsJY3RCqcUQwgD9a608
maH9+G6TT4B3m+DI0L1bPVRg62Q6P8Aatk8oBzltgdLdb3ehE0ts/oFpsLlGQL+Pt/1o7xljAuR7
qI4M9z/S1WNeHQRzAoa0iW1QvGPri3OMBTHFPrCnM7Qf6BH9BJBHFEcGsJsntVodAGBxgjc2NNhe
zzCaO1Y2PjFNmzBh0W25PZ2j/QiP6CcgPKI4MoQXyTrLDgIwxSZFAoOXtL2CMThYNuJglW0jO5mT
/cBuk0/AdZvgyGB1c/D3NwtX6UMsX/vERLYQhPD9nhPEQhBobMoR+FSvza738rUf672jTIB8L92R
IX8nVwfB3DLBDrMYsclbgRF8Qmxk2vZmyb/GfDpH+9Ee0U/AeURxZAh76+TDVQ5h1n9ebFvohFML
LKzN6t5cO0FOCxS3RSDIOZLe72JqP867Q0yAepfoyNCeJR+8vAI7+59Hm9gnHAtG8Y+ItoAgyLau
Nk9AwCMQ5Gyftf0u1vZjvjvEBMx3iY4M8zkkALJDAM5OOEGMUoRelvcY8E3E06bwDxqZ3dM52o/z
iH4CyCOKI0P4EuyzdbXuD7Co2QnjjHNi/tDTZLyo0QmjDDT5OFH1Hp72o7wzwgScd2iODOllnX7P
k0f9zyMNFhm3GbKsXR/LOkEMEROylS/rfNsgew9L+4HeGWEC0Ds0Rwb0aVqsq3CV/PNAEwxqGNvU
IuglWjJe0oieUJDqFEHMbHONQqDv4Ww/3jsjTMB7h+bY8M76w6ho28QQO+E/kpI7KnqToBaM2fbI
tT6dyM8bCL+mnoLu6+ePDNm7VbaJmlT1cIC1DClJbiHLROxFNI+TzhA6gbi3bZpi7Ea/i6v9KO95
swlY76E6MsTP19UhgqD0hPDn5OSLWN7I5S3/CsztTRwNEQx+9uuQyVR+9qO8RT0B363njw1ZKE07
RJkQOwHQoNzLom96UgzuQd55DO1Uht7Adot8CrhbBEeG7l2o4rDP639eTm8iYQRRCGb+DI6M1i7I
aQbFQxTqR7bX7nt42o/xzggTYN6hOTKkL1bxAeKdBAQwWNXchITy87UnDykQRczmI208lZ/9CG9R
T0B36/mjQ1ap9QG0L7jHFpT22QK/QGuOvSYo/mJw27LZSERfrKZy9Ba6W/ST8N2iODKEP6/lKj1A
GhIQBo+XmRS/Ec7clGQTMLYZepkDI794Ol/7cR7RT8B5RHFkON+F6+ogZZxQ5cdMAtGslwqvfSsZ
bpo2s1/KSUY4T+drP84j+gk4jyiODOeLXH34IwvWyfoQlrV1AgsaE/unZT12kJF9gi0C9WGgtjfX
COx3Mrcf8X2DTIB9H9mRYX+1Kg4gySETiQV4U+AuvSjrHV0NkhxUtQkG+ba1PZWf/ThvUU8AeOv5
I0P2clWFBzDDYN8UBLwoVOD/cKTG6xmUNCUIjDAxCmhOZmg/ttvkE8DdJjhCdIv8ILWc/AQ2UMAW
C/uHob0nyiWYxW0Mbtbztb2CN599KmdvI701wkSwt2iODO/ragUa+p+PixACuSioCLHZW5umYJ8k
hfJsNlbM0znaj/KIfgLGI4ojQ/hynT3mD+FB6kTECdrAy/kPdTxe0phAGRhnhGwKxF4Hrt/F1H6c
d4eYAPUu0dGhXT3All33ANuaickEA9/pRTjvqGcIo9hIgLW9d3vN5XoqX2+hvUU/CeotimPDOYdF
/c/DDOFsS5gCEhI/0o47ZflQ3mth2EaHRuHsy6kMvYHvFvkUeLcIjg7dg4hr8J5gk/LfS3inahfy
jBhyygIMsJG4zqfx8xa2r6gnQfvq+SND9mrdrA7SdgKgY5jbxPyxU2rHM0aQQ4ZtUta4XmA6R/vR
HdFPwHdEcWQI3ySrh/VhNjvCytzY1C9bGnejm4Aw39R+4RcNPVrD0/naj/OIfgLOI4qjw7mGXjf/
vAqGXKMgjEO1/Y9sBZjOW9UgkI+CZBToaDIqvr5JpnL0FsJb9JMQ3qI4MoTvQOsdIh8FUUyLCAaB
zLdKr6GQE0HtNcRLtvXwdI72Izyin4DwiOLIEP4UQnsgFT4eJgAibJMS8qOma7eoi0PVFzeh8Gck
qN/F1H6cd4eYAPUu0ZGhDfWJH5w19LQ6UD0uxZsmI28UekGHEcvEJtThjypE3sfVfrz3jDEB8D1U
R4l4la2qx8MEwGADBbQfQDb5URc0troRh4SVZYLdNhLkz1PxPYz9CvidcSaDv0P5v2AC/JrFrVff
9If74+eX39Pc7/29/SD0wZhAP0zwcbwTHGiGQK0jaBT1fP387ZcWf9CC7e+GhC/R0H087Uf6Ne3W
O7684q8/yv+6zn33eXIIIW3DnjfYMAH54bFNDWWcHEoFYDvUNmRTGdkP2hb1HtS2/gq6Um49f2SQ
brSNF66DQ+D6bC9zCpufRriC/EXQiwAE9A+1vI3uu3jaD/HuEFug7u+7uUt0hGDPIbX4EKqH/Oc3
3yPsoErjvd1VOex54bCr6e8gx7ZzjE8s6DBLbbJH4/7N0RSv/W24d4eZCPku4RHCfpavyvpQFSJQ
H2JhAPj5GhtbYGJjAVsthNhf3gcC6B3MvY3/eJCJ6I/Jjg37PFm9itu/ad+8e8lvshYQ9dxsVX++
xkbXZiecJaCkc8ezmszRG1hv00+BeZvi2BCGBXRRh+rD9fdQFYfQ4xSq9zCDNAXI+M21AzWU4kM8
Bdp07pHu72TtDczfeMcp4L9BeoSz4BIagh8C/+cSMc4hsv2i3XdC31DeiW2oObFGZvrGoJrM1NvI
bw8xEfNtouNDG/Y4O6vq++ogJfvWxlzbFHW+sTVj41ELGzZnQI/HPR414P4+9t7Efs8w0/DfQ3iU
c8BNDjMDIAwORfqwse6twiJ0AtY+gsz1KN31gv1ktn6F/PYgk3HfJjs21PUqC1Wyqg+R4+Swpc6E
3p7srf2UkMs2N9s3+KjYG86ieAdXb2C+O8YUyHepjg3xTfP1Q1QuQJkowRgOy/gh5MdRGnDc2MbG
36lNuZvM0RtIb9NPQXmb4sgQvq+/H2JXzqYMGEFbISgce752dkdDd33YGW1DM7GfsaCXgPhUfvaj
u0U9Adut548M2c+wKQcOMJoS2HpfxG3TPQxaWEDg5YcBtscm3wTUwUAb2eTvYGk/vuMBJkA8Jjk2
lGswwg5RrABtSoi52f38dmILi40ZRkcr+PNkjt7AeJt+CsTbFEeHMLTSTw9yjBFssLMhGQ1a9kVK
7wmuwN5phGy8g/F0nt5CeTTCJJxHNEeG9BeIkNYH8qk3m9yJ+VbX9U2Zt4A6UWaOjOt3sLQf5/EA
E2Aek/y/QPnt4+n+PunPW+nV7PmMwFcn1P367vMngrMNR6Q/9kHtSYb9tI1OH3//SCEC9io3thlj
awPV63KAl1D7f6jW0Nn9948GQlCdstkfb0IXbgrdemHAdv1yC0PcZVMpDl6YDeUMm3BaBq3C5e8f
LYimo80eAXNTwwANvmGOqLze3IL+klDPZsMWTejeDp6ZQH+f33iTJ32QZ39/kB9//pDV6U0eZlr9
/hHBbxQvjz2zalIB/TagZQ6DwD6BrA6498XD6tOmDxU8/X/0QPKirOvuKmuJmDWtLwsnJxGP3Zi3
zS0zaH8WdU0Wz0wz1vc6t5o/Y0t1paNEVn599fX2cQNmzJgbqNOBXl2wfwmOb9wYM6+5sbK+iIWs
mytcZugqiIfMd2qeM+l2jc6F07RWfc+bwgidKrV16ZZRFQeOPyhuuVC4nT0Krc1rGEPWHk4S9OdA
DRstekb9NeoN1M1/zTGGWtAdjqGFLzSuEZRDD1dzxHHIJWDb6yvS0SDwWDckfzaQKCFzzfucOk3f
ocgLuW87A2d96PSxSRZpU/XIq5pcP8pOKeSGRkE9BYdzNo5Opdk4vKJxMAvySN7EtThLlZDKA8tf
fFGyPI+TlnazUBnsMqxkky5+/Va7MEAJuwltTKF1PGTun1/61aTgvRG0RpGoq0z74kse2Ag7Voxh
ahRZ3d20XSXuCh8lf/36Zzdz7fVchG1rcAYFJ3DWDOw/x2TD1qufpWYXWIUKsqvMHtAVimV9lanK
DW1ffvn1L8Hy2fklAYWAHPoJgcNkj+ZZkVn9UFYyv7IL01qVbV4lC1/bPXbiQs7Msk4Gl5i9nbsR
oW363ybNZlJsvyhMFOgbasG5lND6d/zzkGQLZZCl4RUvY7pKo5qu4mTDAx1SNWNVnju9CdAv2qRs
sVPGOV/rRKjTVvTWRcdIZbqkjfLYjXiW/kmqAhNP2n2/Loym8ExjSLlLRW5VS0rYUDu//nqb/uJj
/vlGbEA4GM5QhVqebaBMVtOMUt+4RLWfrsJKq8BBRqwzyyF9nwVnrQzj74EtiotuKOWc5VYXuhg1
/EnzYcjdXgbctfKoWYcV4Y8NLSQ/+zWTFt0BmVgEJtHGY4JkBeVgUL2eTqyyQ7OSmlxGVln4wva0
kMOi0x0Rc93UtVt1pXnbpD2tHSkldyuULRSuikViFdiNkzL9VCQ07RyetMHXNkrz015p7RS0LP5k
KrY9v8x8t86jKHRCTaLW8SOVXbWFoa5LYyCzIEAicozBz1IXNzJdUqaTTzgKboI+I52T1Ly80n75
WePUIB5rMHzIsMcgG6x6GByztaOLRFL73jdr60wyG10MQdcItzWllcJpSH14athVnzptbw8eaqnh
DVH3UKhS39WmwaXTpprPfVXWp5aP8edSojZe+NxAoTPI2P8OQeGqccKsNL7VKU+9olD4NM6z4hSV
InkMm4LBuidpfBcKv+NOU1rBWeVXtdvDd1ggC4vrsk27mdVW5RyhDjWzBA6bCdymDezSbbD0Z6ki
lVcX4lr6RmB6COV6CaoGt25mRsyxNU/+6lJTnuNKFHeUaLqoRWTguWLpsLJZXs2U2UXDvIntYG50
nbnCKmmfVFAU1B2wNmsnC3ATzDsd5bA42nbWB01tz6vcl16iSbrM4FEHmh9UOXzotOFOpKLIcLnf
cofntBscSye+S7SRpYuKxbPAqnvztiXIgvOOKzNxIphJek50K9SiI7y7YPEwJP5t3ZY6TZ0+TPqs
epS+xHi4V63R8VQ6ogJRnj/gPo00qeDowbouzCsd6zTuzkRYDotG1No/TaswLJwIJ/mdyQ1yGvWE
1G4NGPhOX5qiA7hS2/Yy3wd9qJO4LWcsbgPTrRKN/GtZmozny7jnrfT6LhH6gilNYEa1fo5U69ag
C+fMkJF/3cDSYYFb2oUNE47EKp1nSVgJJylBefmzrgmZa/iQL6JO75uZBWcX+WnqSlG3/rxNeJLO
lA9WwZxmQTq49kBBYmY4tmo3lZWROI3qA3WjQiNNZ3kQ2k9G3fDQ9Mwc60Vo2bV9RQ0/8M8ywjWn
kZt1qhz6pYIWjpWcFYHk6cxXzVDORaWycN4nLO2XplJp4VLcJ6HLO9oniyosQ8MFWPFXo0gH5MFm
gDj14D/TuE4i01DwybPsa5SmIj0lldDJLJaafRpqTcg8MnKMzmUrFc8cLrHUC79qiuwOlDE5i4IB
x/O6AA5muU6CYWajbhCuHfVFe5naPUxtA5ZK5fkI1WcVoTTxAp8EtcezBuAMuQL7JBsiMqyTGPaj
eDYwkHqkT2V5iszQWgYhj5mL47gkXpiHvjfUfkwdo60KcRP5bWS5JCyjwUmLaDDOTT+x5qjwAwrs
Cl7MUC+H/FSGqA1msbBk62yec5AIRQbTJyCl27WhMTi6C41vFbSK7g0nhHWEr9CQhUPo2I1lkM99
0uL6ihWiz71MlPqS1hmopEDxGAhESuBr+aFE2f2AkkyelX2adHPV0iE8RzrQn60I0xXt/NR3bAST
d15nHSczxYYQmK9RlHoJKWPl2q0/C1FY3idtC5ZFFETNnaKs/V5Ukiwb3gb+zI6piZ3M9mEcmuRR
N8+qBl0NXUGsW6Up+oy0AU+0zFC2q1HPu1mD0yhcVh3G7WnGA4WvQ4OLL5lZbiZnFJVqwRMl1U3X
W9p2zbIFbGSbAWO5AqF7DhpMfCG2CbM7BSlZebDXvstPtRI+vomqOo4/YTsT1mlnRW19qTu9MT5l
393Q2GDdLG9T+Ok8H4bG6XCqh4UZ883Lb1hvQT4BX0WKriyawVvUJYVPJeM8HlwRN7B0iiSIw9us
4rDkqxqsggDugUzFOpPXJbL6KnNIIU2Au626+jI1ZKGc0KzLbt7BERNk1jcl3ggNWEwuvBEIkE6g
jZ2ss/SLD2fLnNlNGNqOLWkM86IP2KrNCLDRVVH/iejOVOcBmLnReV5kcXRng7ZYqMxEV6UIynvY
XMFKR1oyxGe5HYj63Jd50Hh9xcsWDNyeLAoMn9U1edk/xElMb7pamfmyNPsm/tqyNFDL1DfSp34Q
GxkSlon0wA+wySzEvVTzgqXiq2H66Txti6B0uAVirq9a+SnMtToXaRxRj+IKByD24HQkp5FYfKki
owlmCc5gmQyGT8SpleWoXKcgkPszOOAO1ka7kdiziBrwRbtmaGagZNryHFU1Zq4vEt2ApiWNCaZ3
GX2rRCM+Gz2Y6WeD0BV61CrrlZMixJvTsMUwVJciObhWG7DgtABYWteIBZsPedPoy67nyV3UqNKx
uVpaadfQ5dAyACc2kRoWRRLn+WXGOuvC0KaVz2SZpc150LeFdG2qUvkZLBH1aIoMxAiITtU4sVSt
ckTb2CVogb68S4IShX+hfCB24wxggfV/FpoYAgZTfjWT3IiDM8Mv2u8yMI3GTbhi8WkoTHTbKcMf
FlVdqnAWDjVM0hDriNx0cTLQq5QVSeKURWOySwtJq3N7sG7UrJUFoNbaWRg41cBTkB1KJTPUka7y
mgTb1WKwS5j9sdUF3Ov93lSuXyhWfm1pjz5HsoK5BppOfIG5nqqbTGQIBCwuRDS3U8lap6vvsV23
NnLiuOF/UpyVrdfSQFuXlp/YzafSV6IC5Q4zelaEBNAEx6HvLkKi4/yCV4UkN7gzE3bqd7mA9+o6
I7iMK6NovVT5IDPAGqv1ZZL4wH8l4mCupB1Lr+1M87QvLVj3PWM8dCxf8stnq/RH7OLmxch/ccAf
8qKvwkDq0R//53Oewr//3tD8/cxzmOI/f7oMH6pc5U/6l08t1vkmg6PGD22NDL/+g7tN+GLrDzuh
lDeCJZ/Wqk70GzffjqRAAuo/QRHoTUOoaYL7/Hep8W44BWKNarWf6mc4BbKUHCpL4cBCiBKAlQJG
/9/hFChAhwJEG5pbUYivbg49+xFOgd280FgUboG8ps+Vy/8Jp9gnm6NNofU7zHrY8Qtni/980S00
IYT048+vwymYw49suUYUdhMiOKKcQ4wXyiE3HfBeOx1d6wegCnzrOh4K3p8OLE/J90YS7V+DmCFp
emmAWbu0fZ64Ri3veiuwnJhZhZfh2nSQz0IHvL54VgtteYqm5tJs48izO1K5dZOvUD8Ebk3D1VCq
zksJhAUqxc6TNAAp70c3UQlrK/D1rEiV5TQ2rG+7H8xlKJjy4hr5YALHjdMaaTOTlU48yfR5nRXC
QTz82iB2G5JswZK0cvPOy5phEZa6dRozNZ04ym+HoP2Ss/xUWYo6YZKD6aKNwBUgcZywGlYiqm4Z
K004YQYzRyT4Bps6uaytIZ+DUs887Cc52NPlE/GDVR3V2k0NPtP9uu0w9cCnmDUGCbwkzS47bH0t
sqBwlN0WS0uBF1WRtnDjAkmH5AbEVGxRuajpzskQRjNcDeva9ud13pwj0S4QBwOlyBeKqFkFZj+O
UAOWcxG7VUPWWoCT1/qDI0wHD+Qi64flQMEZqAO/ciTXbpOGn+06ybwkKZYpxGO6PPqcCMPTOrst
KvNcGrULUgR0EU1vG4C0Ti2IH3RhlS20gey5zYozRNPvmZKJC1GgC7MRF2AZZq6V+Bk7swmublFn
Fv63qEoCPFMkD7JbY9B9sUhR1juBGZt/9UMkcoc18QOmZN7JqgVxXT8IJedwaFzgtjbcDut2XVpI
uZHqhJM23VL38srKfHtmtF0/L7V8ag1WOZHd3zNTfNZDd4sa9A3iB2dmPtyHTSRcRhWZ8cB6DHF3
1ppB/y2RZQzubQEeO8lcuwFvkZrlMqLVLajNJa9s4wL82M99CK9VJHXpBIF97XcqdG05PFmUerXU
sUNjJmaa9eZy4E8oyi0wAvWXRoMFkBYW9hKwSONAkAU1QnAwwVUvEPUqiJW5Ri4fgrgc3KTuh7nd
RoUb9cECG+o+bPNlDsvGzeysc8AidwquhpkOssJBoO261vJduzJuet/4q9LmGSsI8iIc/Ul9GYA9
j7mj/N6B1eyB/lomPOYu0/lZRlXrSPA26tKmjmTxk5L6ukitVaP8C5YMkRP30RVEes4LIhuH5eI8
A9fIwYQ0bgSmSSVD6US6aRdlB2pPS4IcLKCAO7bvB57P0oSemiq4JzEp7gaDSceQNgQFMP2TG/Ku
w4ZjivavUlrhaSHF6dCV535gF+d+rv5inb+AYNqdwdipJPa1IdStNNm6sIarNK2WcQ5zc2D94BUo
qz2ILHxqmnwRgzEW1OGiiqSYxZ3IHFg97Jtq1KnEUf3JtxsJwYBknnbtOdMqnh1EAf5vU22bBmy/
Um1/JKCoH3d02wvZK91mbXp72eCt2nBuJ4TdXuk2UFHQUpkQbBKE4dZP3QYZRai8h13sFug4yDLA
rZ+pAqjkhXOooOgDOjqKZ434Dt0GluyOboNcBIPSXw7eNHThH0VN7S4oRW3L+joCaXBmJ8K6rLLu
3M6S0qV19YWlqVdGOl5mOU+GtcxVadzWfQ/hiwFkAeqSWyGLzNFxf6sD6yxXaT4vExU6aOgh5B0j
YxEmjeVYhZwHcSNPIa5iukHhWw5YvoF0RVNm85SDkLnrg+JeyD53DGjj4XBwbiO3wMo6azpjOKNF
1knf7e0+PKuT2Ouxbyy1UT0FIhsg2m76ix7lEPdDsThN6qD5UkDm/RyHLL60SQZhrfCuqIksZnba
m/MC2aHXVIbp8UZkXk4GAjohxA5mAixhJM5jXulZGSCXaqzntCuubApCoSG5mDfJ0DmGr0EZyaxd
Vq26QkoJV2flfdUGFz1qZ9LsPazwpWkF5+2gpaOjonZCsPJBXNtuW6t6loHN4wS+oWfwY8GT3+bs
G2iGxp+XtJQOhPsgEiMVWoqq/iRjcmdHZlafFkwa+jZEWbmEgJ2blZItS9qr7I5pU4Cmq33eOIT7
1oKgtokc6tOn2K/b081pHos6i2NvSLObPlJXYKicZYm8Kk18bmtjnqv2zEiZlw9gRZeZY0aDS8Pi
sc3wp1CL+/8vPJ7tYgsyBG/bxVv11bvm8Yb4pwiBrLKJYQ8tAeuTbzz+VyIEtm1wWLYgIWB71uts
I6EnCEG1PyQcBaRfTAsW/k8RQk4shiFHDUWg4NzDsO8xj3eTZXBWGuwdsDi0DBfQkXLbOCYSGa3u
U+tKpt8GddV1L/MDHKX95reFxpkVeAnIqoARBAUUAtqsjURU7StL+7SrryDYOcO4eOoL6yrxo0+0
0k/gxntVVIVeapHSQ0Z2irlYgrc/q3lROMxg+SJvySLj1dJQ5ueolnNLFY9GArFyLC5qWnWu0jFE
OmRyDZYTjS9Io0tyDa5sDq5r2IC5holLZZn2c5L3g3Jak552UvlPLTUvCQEf1+t1yD3LCpPHEkOk
J4Z42sxS2HYqMzD+ihIj9URsPdSyS+ca8cC1Ysj5gUGbOwGyr3nBjVliV3+JKiAzSNOAyWNZ7U3U
tcghONdzVJHIgWDReVOF32KML6CHuydE2l+0QVMukyxfZpkevAoyDz5NFmA8X9oyIM4wZN8Ms6UO
srqnNDaudQeGpUqHYV5bthcU+o5HqWOYxSkpxbfYNCCqXp/pwsxBA/S3XWyfRUOXOcFQeUjHZyXn
Kx81raN5tAzAcq7jcKUhluxAxtaBnM4yCaJrA1JCNGs96eN7iJeeiZov05JeWFkJBiBuLhMyeCwl
s6ool6wvuZNb4ksUDno5xMlN5eexowZ5rkPzviixdnsjOrMM67NOULyx7WOHDNYdODa5K1UnZ7Ud
nvZJGTo0ohSSNmxhlqFychZ/qy0xa83KBSw2hpBu5pCqO+uGyhVW89XKidtKesUUu1d6uI5D65NM
/cyBRNiCW80lBOZO8749Dbroq2z6wElFu0ya9kLi5I6hPAXBnnzFmfqCfP6V+fU8r8ANGCgkNapv
zNKFU2mxMIi6z+HlIWvQLYx+eIwTPuu5dCufeiTuLoo2sh2I7haO1WcwqK0gRct9J2D8G6yCeRRG
94HvR06ndDQ36hqmTfnU59HS1tHMIsW3ujLvDcO8Uxx0TOxHXtMJ16TJ9yH2b+MUDY7sg4sYEuwL
FBSxYxn8s4TYd1nU0g3CIHLMNP0uEARRjEI2M3vg9NLuVHYWhmzwjAI1HmV3kbD+qiGrOzcgnuWA
7wWrJ2rvTBSdG3VhOxAuLD1adpVjIPqps8GXrPs6OW/A8XEg1almIikaB1uhP2sVuwo0ZrOQsi8m
swNPlL79HWL64MsiynOnKVgN67tqfOWmvQF2fRQ24VVXheyiLJjpCfgUDokLcNkM0GtRkkvPkryC
VJxhzvRgKQeS3vGn3GZYQ9QajHtGIVwKqWFdVudad9cFJKlPIQ9uQeYkixyES7Wkth3NgrC+YCho
HBUX2QINdOFDsmA2dBg5tZUUkEIoc+ykYXLNEzOJ3cRQt0MDb+z7xQMd+i+VT1Y8Bj1N0GUkUeoK
ZBhenxgXfowhOpAgCsEC2oETm6d3Oa0NWKrcT77WcfapbarWxZhdWxDgBcniVpHlEY5qD2K557zk
IBARMM3b26wmgVvwApzo/iwo/SUE5mdRAxbUoC+SyFhIKi/NxPwaV41LavOsFX6yyLr4mxX51FGh
BpfTZxD3NzvHt0L+vWgN7A4Qk4CwGWQDP8cobedNSBaE56ELUTrblfYQz4YwrC4HO74iuFjG4LOg
kik3Ucrp0jpzhpZ6IPJOMfLrWUBYdZr0zZ/MKD6nOAXv2qkTT1W1nPWtTgXInBp8VJZ/yyxtgPw1
nkolzf/L3pct141jW/5K/wArCM58bHA489HRLOuFIdsywAEER5Dg19/FzMosWXZJUXH7pSPqIR3p
sGVOIPbea2Ksx66iOJwTd43nXEm76nSkS19tVcHVpnaE3mDr549ZiyNYY3VXCzuPIc0M96Puin1V
sHMduh4QUzvYjZA+UEf6d24LUp46hQNI3+rbWDtZlgJIv/MyfRfU7vIEpjfHkCr71B0Zof40p4MO
jE1jqnojdSujCj9IO+WOT11eBemMDhVjbQ7ODtDBsHVUjUc8NakdCOCQQn7xVLOrpzydfZ2Mvbwy
tb8vW31v8iJROQgI2fD7sbKAVLThAUio2kmj6GKZVTpqRpDSjWl+AZVvx/bstE+j15C4kWIBnoyF
7udjg+bUfrLmcLjNLHdOg9EIo2I09Z+z378tz5hE3mBjwTqkQG6BViNESgQ+bf5ONmAJgZQIVtQg
P4sYfOsOnM/11PWfySt+f5z1Mwa+jc/C/dIEQGMAsIbXZ1FVp96z7rErXQIhnrFddiDKQzwAXW3V
3KRVUG57ix+5smhg1QfsVEc362kRltc8G28AZCU2B6MSDuCXs1c5egqMqEudJTh7JsPE93df9xv8
8LdnjtBBZNc4UGaY79BDV4wSXXMJCYFglOk7swDnKo8fH2T9VMPPzwFJSMi+s/ChNNwjLPSf27B+
LBstSqiswLL2mJ+cnS2xMZhZi7qhlJtkhnqC/kde1yHWYGjupmByqNQNNirbvF4KkXJjGa9Hboe3
NaoSALezYZIKb8mEUm6BhnElO+cAcubMxT238N54YqqoDt3lxiXVSzlUEalYvlmmlmY98RJe5WVS
DvY3o7MwQUFggF3JoxoxyJFs7Q3Ig5KiFKG14d6uXazX3PFfZkx/o2vmdPark14wyfjQL21NMhUn
kzeCLvPI0TcNeczDwo9Jzh6ykYi7FqRCHBJ2dEXjQmfQDFsPg5iSKHGksamGCC5pTOvKNf06npd5
ZcqrY2a+jE46uv4O++KXwKgE3nKy1YXzpVqZ67qpF9oAZbMxLS4OWg8MomXss1HGsyG23SBc0Ejz
fjTVS5lb/Juu3I3ptSL2K36y5FJRu2/T3O5DOlrzjfC86hyOBGjWMh9av/+Tkvi3byX57XrACxms
yDniadf8lreYdWaDwsafDWefWC922It4aVR19oy2p9hPn1nvlhQIZkS8OQ7yqoNCsDrhriwgP0t/
a7H+NIBgnhbr5MrgyXZqnvbCbdNxNJ2dcK2RsrwUQKNVkJjSEVvAYE08gQOOAc2hH8FGZApZR7nb
3jKRzxHhvUQ1GHs6NC2tmzaFEASkifcSQmYZKSKh1xHWvWdp9M6axfZAYg+IA6BYo6Td5D0Vgbeb
Muu7588lbSZsA0ArvXq+y8Li6ANVbKV967kaK6Sho7ZuXaVOZcFv29y9EX648fTwFJQlRE21NBOv
HdELtirpx0mtFB0g6MKIzcxC5fCMFwNrImpC+wuxjSfCVRu3UFeChDNTtRgAAGaZEKfbmGaxC2uV
WBIKFK5ipwTGEQTTwe8K3BLVo8wDdKyGO0Dd5zCYd73UL/ZkfmtthL34XuJqnOdYx6UqrySfj37t
pZN0Yu4DA8lrP7LC/LpsjHIHTVACajvxqgwYKxoa6THMJXgZlRFeA135kftGRn1tRs5YpMMwlpHX
g5FlQ4SYJghI7E1ut3hKhInEYUs0rR1qOfKjQbKkJNOjlANlRn5xuUMZl6lVGgeBKs4ntg1I9UU1
fdpCAgFK1oHuB1WzyqZ0QHmvO9HEo9EWcVUam2IKDktRUj8E3zkRNkW9iU13sUhakIC6U3DJArJl
9XBgU3usAxdd71BB49GAG9CVv3fYdGisAliUhOzJbnIClVSx5VBqGD2mhMqDmg9qlNGvo2y6eG7i
lxP6mLOYU0+n0tkCB3lsTIMGwjx5btclc+YcCw7SVWVZdhgt5Ue9S0jkF1m9mRSwVfQNW6mHHpSh
v+0UuhBfDlCMZSpRWUc+KW2/27nfvKn2Ov6+UUhaPNRF2JSQaaDuq/4k6hnKWEGz6arsTgQTy8el
4mfEDxUbleLt8d6N0xbnNaYL7AxSvhLo9Oablb5gT5Oz/fhAqwz6l5qEb/CC1QNojU8QrZXxzZVN
/aDawlTzeSGagded+yjPrDu3ZxA7SANrblaHpslNKolJTsGKyXuFNDBMLGYy4d+NemL8gNL6eq7t
AMDb+GDk8kqa/m2F9g1TTzT01u3MwJrVA0vFkD/XhfNo8Kq5YWOpEpdD/CPc8eAWJkVjkWhiThFa
vE092P4jFMC3zVLFQFL2oz3scts6LEzvXKjaICQ5dCjbINwPpQVyZzRWLD8Cg/Eomi7Jq2w3NYQW
1RzQwRUvi6ndCKrCL+0cdo/WytdZvc0+uas/4y1/Pr63N9X7+aaCVqzzLgvmczA/8+WrDj7TWH7y
0N4VDtOo0COzUp/z4LYpQtra958si48P8F4PLjxRmqXF9Nm1LrlDKG6TyXX08UHWu/AvNe5fdwkf
yUFLiswq793Sm/0e6i8HVwE+0Bq+DZNAT3Kfz/4nT2ONR3lzIBdaexcwPRyaAL/Qmv4hq32zxnWR
1xNbGrBclHxDUYvvqjSLjQTqy+iR1vRx50Xq+PUmj/jDnLxUif6KN7rf2ruPL3i1Er05kV9e6z9O
9M2JhCoPm5BhGxlSFZuRmcy340Zc8zRMwqjqUrLBfU5J1FGT8iSMG5U45/rbx2fh/u4s3q7Od3Lv
KuvB+HW470/zzkp8OqThxadXYK15vHl0o6MXi0145um8rW/d7V0Ws828xb5Hlw28AH0M6CwOY5CP
W+h2rzjlM2Xxg6Tj2Yz0xt2FO3kA3H4v0tuPT93+7MV610EbVp9XMCFgXVJJm7R/bdLmjsRtVMRZ
zOM8AUuxl5vLt2My7twIA3uxL2i4L84sQvGBbpN+z6KHj8/qD6/Brwv57z3Ue1cdcrgHOt/DWfFd
SHm0bMUmu6tB20cQlHsUmrJI02oTnNut9QwgLfn4+Ot78uvh//UevdttsNUYum/0fDYXmfjTdFiM
8qxGU35SlNZd5aPjvNt1gjywlVoqfUZPDUfIN3PeTt5XbSetOQCKSj++qt8/6r+v6v0waQhs/m5b
jGful5j8bhp2/b87wLuZz56DyvMEBqjSPVgFcMDQjz8+wicP5r0Q3hBNUPsaL5pszr0o08Z6Wsbg
k6fy2X16t4v2pOoL5RfDeV6fylJF4VxE/7vreLfARrn0Y90LfZ7UHOXeGQLqaBGXjw/yyery3+1K
XsYMDXAO1WD2Iiesk7IarlYltq+hrJiss2L5J7fut88HX/vBB7xgGAxX+uVt7xOA+c2afBjPjvjR
FWlpc4B8m48v67eP580x3r00FQt7A0KC+ewWDvD7ayE+QRU+O8C7LXEpxWwXslVnE5s2wOjSrj65
Te9sJ78W6rWgvClbkDgHEA9hHWM2oG3E9mpbnjAiRPsu4gm7Gqk4fHzXVjnZh3vNetVvDkmA/5HB
4qhRTwCGa+yqJ4Zj0+kFRoydopclggK3pm4iIkKDa4PeDMla1S9f2ou9x9QOBUiiB7qtI7757PR+
W8ihFfi7dXm/cvJuMkmGl45crYXcoD28K7uaRLTcOPFjTfcm1Ycf5lcMZ929Pkx0+mT3WlV1H96h
d89dGb3H21Cjl4hVvMR6ASdOw0MV34Rn72hvxviLlWa0BmKbdptmE0TGJzv0Z6fgv6t7xjwaTj01
w9k4SApN3EKL725KYv8wvs7bJhFHf2NsjB9Q2kTzprxicfH6yTpZD/FBTfLfrZNS2QLyNCzNLp3T
lhKar13drozu1G7e7fK1aTkPgj6aqYxF2mz8y0jhiEmgcaD8ufpkp/xDivHL+fzrdXff3ZLACMEN
wfp8bhNn40HOF8/pki5HSPXpN7bL0jIKdpDUUXmcI/8+CdAd1MmwKdPbPF6bhH82B/+vha//v+l+
IGlFFfob4v1F0hq/Vv/nDE8v1tMvWlj84F+0PT7R6EIyakLo/qf45w1t76x5qpDqA7FF4p6DEfyN
Sdg0oXj9I057Jef/pu3xBTnYFJDhZ3me7foOXpn/QPnzc31CpCcSJzC1QJsE0Y/jrIGQbzdBYDVF
Xy21danlvDXL/OizMrLVZ/QAUiZ/fovg6IAZ0zFDMASAp38B7uEMK92Al9PFdaHcG2BEcBJ3Gfci
B8koLVbCFeMbIJblFXacY1s2974FnLjphzma4K9Kyo6UYL3dMIbwBiZJUO3UcBu4NKbuaeqbJhIB
h+TFbjIwwdVtgwNGVlNdpJlDCufXULS3FvAu+Aki2xcOFUtwaMUchQVI4RrS/Rgz79a2yzrNPJXC
UT3E4xKSuC9nSA8BKAT+KXTGkOIyn7hTyUjN7i2cijeGmM+G4Z5BUytY+/KCwle8g9PgPGWCJSIk
95D3VdRkSsXWKh4c1XANw0IK2/NjGHSvFvOfmdBfukWAswWQFcMAeHG77OBBjJ9i+Nx6YdZtekDl
kd1198D7tnngsKji/IDW42s98TJVwmzggdOgquTcxMbIJK0cWadkWJ6JECpanOLKCbo0ADiNntqO
25Ua98l917OTBFUHGEbf+O24QR74Fg4Igw4KLrLJsXMKab4Tccu9NXRTRWIA9+eHz+EgEtOe47Hl
MI+PTkmxtGOUNqCmfbEp/fFHoEEfmp57MtQIaWQt6riFwJj4+mxNsLJozIYTJ3lakuoC50iR2va0
WYRzYixjdCDOJlS4t3wqoaX0XBU3UCnUsF6EGpRuvejYXvqH3CNLxOAioPZQ3fbTuIOSQ8WdbX5D
4wfiZdIPVZ678PgtV9Zce7TnhYLhoftOKuu7NVUQDs9kK6twh6hkAhXxtBGley1gCZ1hVz/69lJH
XlV/W4rmifuAzoUn76DfLWKn9cvtNNob3wdba2dpUDvwM2CJcTo7E4eZgrcvdSFZly6BMejI9UCO
E3MuIS/RVgcHDTwxdWz6U0qCCeK5tpv3VeX21NIkMjOy6xz7+2SGu9wlwJ5lN8N13qiH0rXzEldH
TNAz+SrLnUkel4W1sxtnS1R5HkyW6KB9gQr9hpTGK77yXtIWLK3EarzTlroDfjbAUzTFcirJzhCu
SOpJHYMOom4DLK6bl3WkepWvqrrpi1f4fTKz5sRyM4v6ZobyfTUQ9cemKGM19NtpGlbWFEKFsIhU
YcJnJU+lh1fWrssLtLCHyjB2S4UOhjPOwaZrAZYq/+5NcL0WU2HDMkJu4OjbzHJ4LaFPj9AQ0Npr
nqYuEXf+jjsdrF3GFhDty1yYz4ury8ivYOfR1XPl3Kqp32owyY1ktDKgj667yEpNE4SRM1AOEH+y
na2y7LQjHDprsCOgtYshNUmJ+6kc0M8E9jo5xZnRddSZms1I6istpy+dLODQ0s4DcgmCU2PAQXoH
33PEAqfLttIS0P68KTCXP4v8Tx6Ed70IdtGVx4eA24XUyyRwNPy0Xfd9bzuZ9vRl0pFPnU22n2/l
aVdgOH6pH5uk3NlRRrMDNNRjXGw+Q5fWKexN6/Hn4UN8bxg8puV671uPLhtdZXjjclH+S5PtQgzl
4fxsQPny8XX+7jgImTdBSq0JGua73jccULNyGLkuJD8iRIFW1WvIditj9PFxfq5+2INwO3E/UQMB
LENa925yaluncUfCTRAGh867amyJ9fv48TFWyd4vN+3txbw7yMhNs7fK9aal/QOPykRtze9BHCCM
4ySwxuhNl3RUpNb2/hzEFT2rU54+9EmWXBf7iW67uDsOMf5iLFP8lzx8fH7WejPfP9RV84u0SHwR
DzkmP6+pCmZ0mBFMcnEpO2fXZmKeyCPbw79tRCMaxv0Xspmjc5tOW7Bz4gD+5brB+U70n63tfxtJ
E2vi3zeS/7dq8vp3XSR+6q8uEuJPgH+2B90AvkEKnfibLtLEZylBjLooR2ugDPaEv/TjMEDBuotP
ltoQKSEHBk3ZX+LP4B/2KhJY1Rr/7D3/gy4SUPpPiwj4d2BBbIATxLvkIFhkbf/eDNOs86eisIPq
yiDtF5bDVbSM1Vei3V1FRE0Lb4mg7Ul8MHum8tPFZsdQt+cpgBgim0S7E3kLBRAzos4frZS5ZmqC
wp1yZSWBL8dIMX00hyz2DAnrNcwleWA1UUWqI3fbKlIG7B1l/yI8cPkjcb6Duu2jxhAsYu58mAP1
HQapNgpKiLGhxE88raCv0vWSmKNRwYrizvCIwLHkj+EYOdr0okHWOq2lvlgaBdVi1WGcXYgH2PBk
I2oihmv0uzS9PRrfJm5nmFKY6ksqmE1djmSO2g8v6B4fVbYwKL1Rnzk38Nb4A37rFXm0sAaSMcHA
0mY7mw2p9mVG21VoZU3zw8LZafDrQ5M1B45rgkojx0ZhWTdTjgLLQNuWtXXKiHWX6Qp4P4LPKLRA
yJnpFaIsSpioHMfeChvdYBY0j4HbGZFnajayyFVtzm4Hq2ieYZZ+0IszHaA0xB44AGggkHMUbfc8
Mzhi63IjmsmjzuhKFEDo8kc7syjPghNn1oPd9jYd8+kKahMvKbHTxZa7sGQJoVVjXYjxXI43tsG/
u1UmN+DTIgK79QF8/zC/wJOeOo330mtbbqBb3MBHyCAGnYR8CAmvbwHYNeVrzpbv08xvFtuERH5s
QLCXHQ+Cl44U5wyz1c4canM7D5a8srosvHJE1u91mAHnAx09+d526DR0jdwEBeOE+mwXC3yguRTT
BpEWjxM0qn4u+Mme5StsrtbWlGxVE3kwOv1Zdv67z63j4wf7nHj5LrvfTMv4qb/2OXx7FZuZY7kB
BtvAJegM/vbJILIY+ncPW807m0zwD3xQ20S+4hqSCZIZm9O/tjmLoE9HGhDU8Z6PL3L/B9sc9tn3
2xzyhEIM38Bz0S3gU2U/b3OycZfS1Vl/ZVb2XSn7W6t3D4CHrssZ2qVJOXzPTMSyEGdbaF3Eoiyz
NFPeFA3zmFGzbVooMibINrVxYzrLEvHGJxTKCwwiC7kezBZa3xD/Vu1LnlRFQ3Yh6yza8Oq289FK
L7UMKJHzyWjBvogadrkJOtPImN0s9iHFTioFc1k3TO0ZU9adDwvNyVdLfSysP0QiFjx8GV4xq/I3
Tg+LS6DkFHmcM7p09R2vA/hfwCtQs+t3LeRTWTCwpC+R5uA74hWZPw/ISzFWK9tW2satsZQgb9v+
tCwwhy8u+4o8tIK20IxHnZwgBdkV5EiY/V3xl86OhpBtpcxYPKkR+UfLWOCOlFVcV3MZW0vfJI0u
XqYF2/w8dN/HYdqToZng5MQFQfy767vgog0IXHWdGMtxHMh+doJnt/B20gQCHmrMnpApHjvWXXIx
z9RRa7M1k6vSg3iUmWNCAtD/YP4hQWKs3/mdY8IpKG4sNjnXocG/zVZ93dcBQhAqG+5OwklqrQLf
3lckhXZ1TJpMAg4uIezJSojzOzM4Wjnf6TF3qNvxuAjqm7nsseUsI0laG7FNQQ/DlBciT8dDiELC
2kHdssFEy07CR2bIgsq82bRmse9L/84JlxdisHojdEkHbHuF4mEsLQ7FE9RoMAY028lUVuQN7d4m
uJalazehLYqozEhtXhpnqG8xk+HAXY9yIK8Wp/uWQ8a3s5RxwQJ/CWUuaVdABc9L8tS16tQhByY2
AgfBZpP9Ok/jq/K1ToHCNBCMBdkW0SxfBV5RKnEqUQlXVZpP460LpdhBBOZeFcWXZgkPS4tJ3JUc
tgvj2GoNp68ZmOnAMkJlmU206/vzUCx4fdQdZ9nXlvvBtrYRhlMY4jZbQJXM1vjY2v6ubAcojly5
h2upQhn0RBr09c5j7n3HTb5XAwb5slhu8W9Ox1a5CnOslHCKegB21hwU1SHQhoTrw5ttHZle5sUk
cx57WXSRWiAc7/u63vfWCNWN4fsQyOctrfpqiJa5l0/MzNi25ry7FJ4b0gkmk7nWBHpa8RBY8Iuy
AWS2KgjtLZnjATV1klXFiBiMMsfbPli7PpecysLjsD2MO3MJzF0b8J1PIL/2cC609Wx4Vde3NEB8
Ql8MC5VtvXUGGHINLy7kMiCmCGKXpjII3jRniBCTAgAAIvc4ZH08OARBN/gfw3EvBQup7NU9mYuD
2417aYP3crpb5auRLr3YcCOD9E/AJF2X5Kzm8T6Xbk0rzS/CGa9LmMGDcj7BIfLUZ7C8lojpo0IW
D4iy2juzudV9fzcEnknbEUy0KaUNT/h8LPs28c1OpkIHwC26+ZR19nVZ6yqBiyXxrWZvjdCD636E
gTh7zhm5Ql7YGfFml7bw0aOp/msGpw8dy+Wp4ugunDYIEmS5PPfCR8aDzuChs5o7yZ3DbDQyURVW
DfLsdPlgj4W7zR2vtjfw8FsJl0hicnMZ/1G5/lvCV13yvy/hyFP6Ld6NH/q7gqNMw5WKGERzzaT3
3lZwC3+EwgnlmY9chlWM+hfebf4DxRuf7A7/LNOrfvyvEr6Gqbo+JhsXEhsCIPM/KuHI0Hw77mJS
WYMIPURsInTbcRDS93MJV83cI9iK21f97Jh4udVu0g4sY4Vto9lrU2lD0toN+tGHuSjumfOts4Pj
gLUVu2t2TQHh4Gbo4EiapElrs0bqg9nRYGnGeO4V/CgIYwDsJ6HMGL/qsP7CcyBvoropnWJT62EP
bOWmbVDji1aPNGysHjZT61gDZoTc0r/vyxBeglDAATVl94ssHl1EZmG/XebIm8WVy+wrMnlJ2Mq9
X7W70l3s3QJJYgQ3QxApPm8Qr5lYQfMDbtubcWLuHgL3DTJNvga5pmG/PMzw59LSEhZcZQC6PAd4
7AqcmzNmLb/hDxMZn6HLA9hb8q01ypo2Paw0gtsd4OABct7GPpei3VelY9Op6360ihM6GxI7ZhVc
5aJDZ8Laq8JVzX4WA6JgclR9X8DQVfIOsRImy869J1csblw82jrLj8ACUqkc/9uS4+Y2meDXFoJm
KO+7Vw5H66mQ1c4NDWwCVqM3vO6Dqz6fRQLEFU9tBJLYsYFFYKwnhE/VEMMWxNvkClOhB2fG1pl9
dm0ym2yWpmC0ZXmFJsoGIjnBgpcLmyWmrgqQAHOVGHluQZq+BkYuUAp7M+KJsM1tRZaRmMwaw4rT
56mDiIfUmewq6cRgbQYJJWptF0e4cg/LUFyVNdkNmi1xLoIf2VJ4tAD7kBh9bsPOoosEdjG9KUdW
JWbB4e9xiIYNuA03Q+FhVIRcfhNavcJk2SEBEvFaNxhogs3YuDxBDHGxNc0si5WqbNrbtnFdgfAB
uYErbWfPo7lnemnAjAHBClNAtWRNYiC0Cyk8Zb53UTI3zFoh4P4CUXedcCPQVA7NV7l6d3LuISiu
DZ19E2IrZmQNOl3WW5Rb9fPUu8V9DfoeOHpYA2pFqqs1r5xDVpMrMD5I4WoWxIfgvlO7M8ZtMGHs
4pODJtgf8++lyH1Yi/0sUUxA2w9H2+hWSZbVqLLIKoLJrgaY79iCoikZqQExMaw/ooo8VXjXC5mv
ixlmjkmUSY8QEPAeVnVGxuGwhXvnx1AvXweieDo0ZKRVWHWnHJFGkT17cdW13s7TExIfDF9tgqx2
bixjfMhDOUD8PYyIYeDWTMD4js23CWflQ/YEXXxRIbWEtxuoxO5geyVI7WBeZKpwXyMYJZkmTWio
RsDkvQZvhC4f+XJJXtfG3nAQ12Lb9wrlPYLt/U60xd4v6svk95Fh+Kfefc586zBKTz2hLX6dvOE4
OwZAb0y6cTCN03Hs/XobhkOBUJYV9C/No4Wj8YYflHJ+tIh/i8gCFT8EBFSF/sMCHoLmxQJ9ai++
9z4iPZH4t5OFvkZKMryvOeImubLjWgSIkcgJIs4Ud+NZy5mqHN1Qh79e9wBc/N52U63xCEkrrkaD
3VZz9mzK8UvjYHsIzEbFftkd8om8zKXnYXCAHU31kqVkJLDe24g8dbpEFdCR+AsR6LHUCRkwjyPg
5tg3nEs4+wGVwq93gevibw5mgU6gUlEzyMNYmFskRYGHcLK0MGV7lYcDnIBIA4QKP4yHuXvtM2jw
XJXHGbe8L3C7CzeR9XyqoQCVjg9/n/uEgCh3lwvIdrvlK2ItEd4IAhQXXaXcQuAkPJJx5flnXmCX
CaFFtmDAK0MDNkRJtkbrbTW8jYUFos/IV9OdOML9hU4+r74OQbj1a/sMP8vGcNoNgwEMzzSaK4Lf
uy88yPOoz8cffe5fkAI7wJiid8MaLzOu0UFOeY2gPQO1YLXJ6AMfqmsBfy0BT1MhqYZ79dZfo2tG
ZNhU8Osh5ayjddb7VCDnBlL6Y15FgdnPCHK2Iky5r9mIuBnUMUNv+sDqA8xFZRUxr74xc2jh/9sb
mX9EXAF1/fe9ERLDX9Rr99L/BuHAD/7dHwHhWD/Tg+AO28Qv6E/+RjjMf+DTqgAxQuIBzFhB1H8h
ua6JHzI9ALz2z0iu/w8AwsA3gAuvSeMQLfwnEMc7WdSK5CIuK0RJQPSIBZPA2j+9QXJrFqCQqABm
RLNiW8RNbTgDkNjZ02H0lUZchdUf59GSG9tc0GTP4wVae5TIWnztHEvGvdFvMUS4SWjDmskmz6aF
w9sIxRnqHWOyYj4E8FK0q5N4msWlZeEjd+HCVp0NFY+5HBANeexcZxvIECXX4JtWN49ZwGQEs+lp
6TQwQFmqLZw0eyYK8OWOu1+CXFDm+CfPcu6Zi4iNIQ+uw8kv47rLAa10L/j4PFKOXPaghAsnCpKa
kU3qq6hUy8mr/cc5Q4Qlse2nsJKPHlwJYUmOk1/dGa44DQiqipBWeF93GTYbgtTZDM6exbmp6yIl
zPhiwdzEWpYCxYFloWuOjS+frMA721wUlLvzBnKBmmJRvAwVZqN6rsBl+0MCUzWnyFCpYrubYYvL
Wp0EQT0mSikND7u46pCgBZeivZXcgh9uGs9ThTmOLRPZuOWQFl4LtAEuX7ckdWRYy8XOvG/W0NyV
o04RuSeozerL7Hip5mKXI8GSZn5/8Ub/nrcZbBmOfvJyIM/55DYxunhYmOtcpnaue+SX+Wh5l+tu
rv2U8Go/k+qVr0KFYIBPi3fQk1dWFiEn6apQvoVYBn87B+y2PTt85wHiQdrxwdNFEeHLCmnuKwDJ
LdIJh6VIBntQm24MnriHbmdsa4tWMt+ANqhpKeS30vdkXAwAb62WwNWJ7MGVyh70NtdINBGi+Np1
9ivckK/oyNmWtc55zW2cFbxJ2lQiKXTlPNhuiYhaHaDsZHkk63YvXG9XuQRhqDztAgZ8ADm5iZ5n
eAWYpzfBHzBz7Y5DMinjOm+m7+FSTl0ES2IRmQBblhaech/wi2O0VgQ2cRt665BvwZwP212AJIhg
a60YDoj6FyS43uWmjCGmSEwYwwDgo3oA+pG2siO+okFo/dokD9mcQDOBcB2kFKKUAz8aKswLtlvd
hApJ9FZmU+SM7+rQO2aqJ1SsOBTiFvBe+NWYBMANU3vFq/6HvfPYjuRYtuyv9A84V2gxzYyUUAkt
JrEAFBBaS4+vf9tRt3ir+Ej2YveUIw6KQALIDHezY8f2cXjSt0JpWBooyDOJrBUib5lK5+oRvDyl
fM1weQ811LdV3E+M/RZkCwuhJdKWq6riSUmVigYx5xQiq8UF4/NaKW0OklteOi89ElxXXSeWBeEA
dc7zivAwO9XlHObg5VDwfKP6ZnU5EhLaXmEVNftZXRaIWWRBrSTAyVbCZ8PaZryIHQpNurwYSjNs
z9OULblpk1SNhILHx2AswlepxEZDNhehkh9LdMgZn0Opx4JaNX4QUfaRDTwyRlnx2VZLoD4zJiVr
+th14Fnmd/C9P32lfUYznztTyaFVGW0ssObYYtBaxqgpz4Ux2xc6QqpIiuZyHuHlQrRON66/hGyO
orwOYVitoxY1Np7Gi7HNPFRClNrcT27jlk+zbUX4NvI0ZheSdxyKLhZauVxXYe2AR4Ic1hUjZlMk
YbNpByp8Hqx4acKVUMoxjJ5wO8o+Daqmt/Yx75fSmTOg0wximmuIJ2c5UrQWahA/UDp0YzyGSvsw
l2VOVl3VtulVPevtU+YDPts4Xemk625Iz4ZhBOrT43A0EPFCLDlp0j17fhRb3y3E/+olGp6Cv6kJ
6DO+Imi6/vVPygK+9veygAg3lcLK3c8WPSCun8oC4zegPlj9/quN/Lcs0JXK4ttMX4kbUQaGH7KJ
+xs6h41Fy/k+Ffln8EslA/3kElCyCQwhJploJ8g0X2XLz2WBX7gLm632eJWPLDaH67aptGM+69ax
RKFI16lT3Ms04nSdxblX8oyldgGLMnWCuBTwLfoUg1F/lnnz7ajN5zJkSFDHDovQkwfZN1mOftI/
TKwAuIV5sBOHRzKsVo2aSc4zaL/BWc8MipOFM6WgMQXH6XOH+fOOsuET+gDgii9OVZIBR2CFb9Nm
ogEjyUp3mnpQGanrwSo+Swf9sMstuaF1KAKtre8sBwWYzT6D+xNzYL2wZTT1KytqxnVbho85JkDg
JEw0ui6wk+nNGbJVGrLYjffzHdUyWY9O8uQ0mFWIFDmYswdbkM4WBPmTE1k7z60XNlPNbcxSNEvg
rEk7ox2MlbfvZthq0qIFQaZ4k1X4VkAi0SqsdNzsz4nmJ+vCynZZNh/op3HyzROekJFexIvqb5Fm
0anp5VNd2VwRqo0Lh/7DCY3lssvka1LbrLfaCTvVtlFgtHI2ovT0GwM5J7Ag6LOYjbpbAZbcTVN2
ptvNyBFALUZL1PZb5WhaLDfh8HKrbS5NbZ0DeNh4MSdR5C9Mg0HeXEjNm4MMoOPWY4gRhLmQ656B
HDJ/FqOkQPmXGpyXUuuSM25BdpX8qb817HF5YIAVB5WmeEldrl0g7+MQmLLsuWqRmuk/nSfuzOKm
a/XmFDtGcvD0dj5v/JCTXObVEXJ1izRgWel5OJW1ArfP50O75MZqKbTwbfYS4QUEKDSH0tCus8rX
N3E81fea5A+/Cz3DeRGpH31aHrdnoVhswKyGTQaeTRZMzDpFbBsVu61r8VkDc+uhL84wBRogbx2w
N62D+iaa4bJVHLhQEeFcdl45oaHEuYoXZwGOsxRBrik0wj0UUw64HMT/aJUp3lypyHOOYtAtVqYH
leLSuYpQVw0KVmckt+53eh0cu0oR7VCMxgef3ICDA313FSvynfBg4HXA8GZFxQMrHygKyffd0H8P
c2U0++vDfJP/n6BqmWH/yUnOF/44ybHqgGVkSmxaOFx/Pcl1gjwNlkXx3jBCVoPqHyc5cDeHyBoQ
bl8sNtWW/TjJvd8wqlkc5kwl6Q3+WYPHKP2PJ7nH98FBqFkMBblYeKWfT/ImCmdbwCK4Ak3+MKkh
1sg0S2ATWrlp156INGHUhan1ybbqfu3beQPiS7hMpRCgOzGWR3ajB9hmeCk1ZmhUci7wNY9TF2LZ
drHQegs1dMO83K57a6g2TeiP60YN51KmdIQ2cLrPXsyp7t77TPJwf5ZbZ2E66zLlw7gX7Vvmfn0y
P4YT8NQxrW/bKmZ6KhJ/r2vRe8nUcDa1M4TMy0pjPRSyr87MOtW30tZJNWHqmE/JTqoxZMU8kibg
OeyNY+/UHaEQw602Rvk2agjcGCaGWKi7bw43xh4OFGUsARRbv5o/nMr5cD0/DdA3h6BjQurP5lNp
VOWxHvJqBRfn1Rjj61iNVfkx3/2yuMpspDATooCInap6mAHabgxN32U6Bhgbtwty1TaqkHVCCtbF
Lj6cXN/MyhlT5fXOwivjttPNBApgz/HvrYrRJgFiWpYgTYSzGcR85caTuUrw3yT4cEZlyMGX9UWR
q2BqYNdJ8e1AJzuYTv9C5AHMdxNrz8B9uiizj6fJBy9HTT3NHWdY3c8LYhzWVf88FvXnMsTQ02iw
Nl06kBEyI/lZSz7vioQ2u0lS/1A3Mr42M+MeYYqRJ0Eme8OLV0uUmc+L5q4AtPj+cDc4eXTZ92V9
XLSiBWAvsn1tV5sp1W502gvMwB7tEn3mKtOSB9V/orGyxGgKal4zAvhQO/Uc2BX5PEJUpygNw5XT
wQh2tDvCbugeUowCAwsMuXO0hpI/Mfd6mM6PtZ18c83iPBTgJ0q9YbsLSMvKFcOrVXR0GZb5LIz8
BRs8brDI3UnfYus3TveGRvfqVl0wDwt8M7PEquBtZZkFM6SZMs/OndAlJEmwVSDlbbGUn1peeRty
aZwV5BHkyiwiI0yk7xBEnmwD2TSeb/K4P5ejuEPUeOmxtWLmZ7d+EGdQ0i41M7yfy/RMTgXvVmg8
RAVU5rgN7wjnOetT/kK1EVlbs8Zfnnn+ZWlYz6E73aMmLas8ylNm11jfCWN56yz/ZmpZSq7brREq
m4c7Xk26dWNKfpciTK7bTj+ArF2zg3aMMFgMDowNYb9Fsn9QawVRaTOKsa/iZNmbbQFqiol41skn
e/C8XRqJYpUl6IscczjfGkFxpfTikICZ9Zi0T21XHE0fnIlpHGJteRhKZhsjOKp1Y06HurVVbJSa
8oj8hlHIGzlE6KYZCJrF8XYqsWCDuOltwr7qNpScxRbk/36x0D/SukiJAanXc8cI3mDWo05cTim9
2mTWeKoA8KAW9Np2GOV1pGE+0MFaa/wJOJOuTelcpIP/bjuKr+g694ZjXZhWk8JDQ7ofZU05oo64
Nl7w2Wm3hl9uczdGgag78IbM3XzdzvcFbbue98gwRe+sHT5vwxLd6pr15hbIs5HhXUC6DXdRJMSW
PZsb3WV61kSZToCH+2aQDrPRyxyXnlNvpAlmp0gMC6ug3GbIw22/hLdpswB+afW7MhlBEQJyf69j
cemQRAH+hTMiSR6neLxq/Xhf2N7nglV906NMMXfRmIM1NQl0nS1gwHdL8VgwYIwuFrgLq94Zqw19
x5nttXe+mqm3arpOhtdLtSQ+itBowvNdnsKR6bo7dm9OL5r1MrQn+JaXMWN7k/H9zBhfV/N8s2yP
+WJsssjKN0NvXzO+vxh8Qnoc5QZIsQV42AM0QWXZKseAPaGjoUrcmZgJkpB2AnNBqlwGGc5Vfprl
yVcGhEY+FPZ0DRbxxOeBPwJWhQLLwmJTgfZqgjdq5Q5xcmDRoL8tMTroTnckU+rM0ub70qBNwBDh
YIyofaukauapVp4JN3dwTygfhe9QgCXKW1Fq+C84Y4Mpqfcl9otW+TBcDBlR6mCqVB4NW7k1sGzg
26jTw6KcHCIj/+XL26FcHkx5jQOzmSTwlQekUm6QTGvB/yuHSDSzzqM8I//K7t9ldyqUv67Ktgx0
yj8ryfiq30sy3M4OyjZ7cyxca2oL+2fNHSwNVZej8X8oeM2PkswlVB2WB7tcas3uq1r7UZLZgLkR
210b6q5aIPhHngRX+bB/ba5Vl+7jbHR1QCK2+Ye1jqxgYjv3oXsJWf8Y9c1YXvSTIYEaFWNdk9mU
DMvOmzrAl3ERzQ+Vr5jSlV8y8uvT+Hk2u1tCp2QQs6i6nvphR1sSsC/DmE4rDXqJ3FlVfvpGjkfC
g2onGynANZXkweDK6NlnEs8kHN3gQXichkrPrntMALfMh/f+NGNGDBlF8SRHWiIus7D0plUzNsy7
RfQs6z4+hWGcOKc4l+7JLj2WoizSF8yVg0JfBXZYaOWd4wpSpjinpk0362FPjF4XJw8DFzGpctn0
mBl+jOMiq/ZJnKaSK7i9ICLrOA32jR1ZkiFa+aAt+d1gMUas4vrdUJK/Ew90zFDIW0U/1c23WEUF
tcK6dAYDFX9+GOLEXpsUhGIUgSg4AiKldFs1tERPYt7rStfa6Fb8iLDqsc+VoT3at5k3XaUp4Z1S
JN8M370rButDs9Jk0xX8UWyvv3bBjfI8A96d+P4rA5jqizQj7skp2WsLu1SNWokrcu+uyXVjW5VZ
SaOngJapsY8xgpfj2AbFlBzMGLCvXWD0ICRqwSyXlRuIVySaafJo1sZ1aAzFGlccnaJl7KuMhTDD
g3Lly9k4yBF8qBi0b1rlB97QFUS82VC83G5XlP4r9K4zx3fPOpNMjcRjnGwu/i100XFN+Oh2DsU3
21+2uTYfcJtfRi2DdwwlQd0uzh5MBn1vWH/2lWhXTjJlq0EU71Psz7Tf5RMf6R6G8ujuHVX68/G6
RsbuAddWl72dCurG8JT7rDtGWOOiWL8Ja4Fuyo260ubWXmMR6ZTpJIjt6mlIDSB0UX/seQf7btjC
P092s83wyNGaarOUYOdGeTU39qPe9Zd+n9ylPXmZidY9FFF8oyKs0KcH0LaOOHBom6sxbm+kG94x
Eb9eGkBo4OnqADZ7tPKTRAZ6G56GcAE1Fgq0G/HeNiIONKvOdtLmklp0P2fwhU4T2R1ajgbujJjR
Y1W7Vymha9vKsyeAnKW5Lsa8x8ExnTOI+QZH/pgMHusFXXLhpBAqE809g7yu7zSfFCZJsIvOAxBY
evraavW0lX5/5bfW0yhibc2jPq5SWTjreDA/CznA9ayrm2Gp1z0Y5UWR4V1XhRuWFTJuNt4b01Lu
hcWnM1QlXZcnH7k0Fi5H98me7FuDXcPDWGW4JFrjQJsIONTzQGTiqHFw2a21wrK2U5NeJZHDrkV2
U+TjZRTz2Z5iZVROs01S+CcjKqH25fQTUz2xQdrOctWUzt2kI5hprfYZGtaLZubvjFUPzWRyz0c9
/YQwPqxOPHSp66+Longopt7YGP5wK2Wv7xKneK6kdWaLStojdTXspqNrzc61mXq1S7KMBus1bt7M
CVC/YePOVz7gwW4uHDH3myWjuxqXt9Y0nhvPN/e+Rm5I7bunZRjLwOtjJjItjhhGs+WKhIF3rITd
QXP727iEWenVWr4nnVWuBjdLOWvNl9qxbvuCRLmJHCksDOEUkBWXBmldlzhLNSA4+A/ZvvwYF+kH
pU1lmRpjMIaVu8+y0mczxcpXrOwT26LRsWF8eWcFFqREx2qGFk72ZTLbGFS7BgCjMOLANJqbqaSA
kR6jQZ00sywpZ96nBPOsKYPETmUg07i+KNzpIIvwBVQcaARhFRvDxWYzm3xa6zZ9d9ySLixMl41d
htvIMiWMxLY5VLW1zZgjQhV08q3n0fhxHi67Mm1eWs8mjk9gWgh3FSX7dSzIi7SrxMewOWkrvy/8
7SxKqEMY4a+d0qi3bqMfCCM8RwZl+Fmk3o4+GYM3Jrx1OEp5jIfhW4aveRvXvXk0apM5JWMfQkqi
ch+X5XK/TAXvzSTF1mbMuxIU96uIzL+V3Y8HQuzYktU9YLo2OWq5fwz95UwkSwG8kP4mzJZrwscC
XHK3nnCd86Wj04sHhqrU/yeg1nelwYKworFv8U4nqyEWLcTA/h02J74qOBy72WPRXOqoyPh5Z0CN
8alPjFMZLlqQVcm4q+vljKyncxzhAXk1pxFlc2OmjUbsEe124raXvp2+e8zB8y5EkHB92lRStrHT
29hvPblB62M9dGnYA9emB33IXqtMnPI2uc2wf681tiE3aas7q9aqP3KidKJCs7a9aREElVh8SyxX
wZRDQid8czUOyWXoD8xodW0MpqYN11WYnZUgDvfpnEYPTZzj4g6fwV3TuvDoku35iUft2TYFK0r9
Zf21tdwX76Ft+BtiJTPCIPOHofLYyU/YSTaEuF60WgtEnlzoKMm4ELOzHBV8bXGn2mLkANP1j9nr
sKSE514oi52WyCP2Lz9oMrFK7fKxkO3lXBpMvmVRYDe31ryhx6bTz+y8+CZq73OaaR8dFBSiavdh
l36wpL/thqrfdcRgdjX/OlXiQUs1MnLPCiCX7eAyssxe/SF9IztvXY8MGdLWPeAyVJ8aL1p3Tntc
uonOLePtKejUU6SfeeHzDH+QttiwPky2zFbgCm6TNOJ/5gAfC+wzba6vLBaAMAN4yY7K7YUK7JDM
ZJpQ6bBb7hwXu4JaXSdXTgNhw58edZNvXs8Vg4n0LEO12plF/25hbojckPQkxoeaWzBCLR90kwvP
L6OdDQg8kJ55yQb4fTtNtKMdC0qibk514p8TbQLtgNH+IIiFclNbR4ovdliV6EuNdAPUtgDYCmod
eTza4q9E+1lYxMd5cVuMDb+aB440pu5ceXmC8G+q6qE9uGZ8nGT6Get2so0m70rq6a5adp3PDoa3
a2UZ6PO5J7K7OB9BM1gEEoOr2KXpyN6FSyFjLm+mN22dKXrznOTcMgainEIt5s1qXlkNUCmZE3mO
0LHbMx6fu0giq9G/Pei1y8SZ4UXXbry9GeV7A1Pn2GdB6Jn1dem0BQb9MnGY+Vq2Lh7jsaq0NRsZ
XXtkN38q0L0meLPbKh+FvCYA/qXU7EQEVsiWd7S4UxJ4fnas2I5YzRmJtfScu8UHXtVWYivclES2
TEzbxKoCC1pyEI7VE7apZVN6Y0P/H+mb3EgJ3y5vJ8uZt2xdfxJH/wgNHcAvhZcIE5B2tn+IXeuV
PJrTnBCnG7vEj8VJX6ypu7o1eFlGONOorwTCCNeJpC7UuNg6rjTeP/XeUZsPPklgfnzetKz45bUV
zL17OfbJFVEJ52ocB583fdV9GXS+dU6cDtVNVb9xt2DlzfN1Vnr3XZJYx37QPhaSe3dLqmEiGT2I
48MJmw3hOiodm1ZiRV0zBU5YfmunYm+SHrPG0bpsm845t5r8xoCVWfY4Yuyimvacu+c+oRmutLns
MIruh5EnOjV4QVZc1pmVd6uOLIC2w7+LoXZXG1S7vp69ZE2ytuKrjHCB1JYrAjoPdot91PegSTMv
QaLsrwo7/YYpGQujjq9IJpdVpF3aLATm5XhpGVcOUh2RnkHbCoBQWvVIJPKhj5Pn3u3va79inR9A
KMGUs+Mq+ueauvdSNsZLUhOU0wlOxiI6LNJdDumQv/AD3seqtXepBTdxXzOIKsSLBaDtsVhGaOtN
ejYT2hp0I0HTslguplHi63D0p3rU4Atk19NUvma1h1ep6/kk+M+5XRFPGT8W5KL/29D/JyqS/vav
G/pd/lGWfzJi4Yt+9POG/ptnM4P+Hn311Zn/3s8b7DyTsEVOo20bzGD+288zl9GI0/p9xvJfpg4h
kiahMvyb4evfnXf/wEOnO3ynX/t5APXMaviengftXRn5fh6xkCbrGvPg+VdG0WJOtfWlZkit0v9M
UcYGOFrSSl/QLNtrhtxkBRYqNnABwOuk/nlb+hnXRfaWITRKioXRAGorLQtlqTbzWSUlLodyJtdh
GP1r2tRPlXe6Jq2P69DYCbymUZfQqzQ7DQ+qhxd1rsVeJPkbMTcmiOPqPEqn60zZV52+Dej39q7G
yivtLi7taY0FmiBpvK8sbVwaVECJMsWSjpJvB03upTLMlkJ/S3HQzuxbHVrPfcIBfFja6Z3z8ILs
xhzYPL/bs481qVeWXET/j1Z6QabMuqmy7ZJY11wtiKOgO8q1Mer7Bo/vqMy+k7L9ZqZoCbvECqyZ
Hr8tRoKgq5ZHFIMLT5mHJ2UjbpWh2EASiC3s+uYQbVtlOtbbyN2k+JA9/MjMqMagURZlosGeCzzL
eAKo+qsr0nzhCBWhvS2UwZmFjsOkLM9+gn9Wh4ISaJM1YkjGGk0WihnQ+xZrNlnAnMjrws4OHZ6/
FQl732QxeitNma1Jpme4AjnEjOQr6Z9su+n6Z2+Io45Tm9nyeaqs26EycY9fdm5l7K6UxVsqs/eM
65v4m49ClNMT7+dZb78shXNhsdSOdwnXcHpkh+12UjbylhDRDv6234DuNsqBa4zsiGhFzm8V4zDq
Mx/nUgTWPu88ixN/jHeJ54GOIVjUvzAIJDy6WTXuWC2sDvxdam1jaWwisuHt34YYqCHHSp3on6ZC
Dhhtae2Q7608yIc52umyipnbla1x7ub58OhVjrdnK1R7+lff/NI39b+lQ+yHgkWLb/3/PhHV1/1+
IhLmhYLJVhWjZzgenDi/n4gWCbm2DgNCw2CkVqB/KJygxNQ6NeG5JowV4jAZFf9H4bRwKWu6YWE6
+qGL/oMT8Y8jZ8sz4CL7ng51nLXuP2Jr+gGzvFvZ04m4mQivkLyput1Pd8TpO6/kZzTOd1TZrxwT
zUZ58VlohmzB7/vroaszV0jTrKtP5gTQqyOBqmOzKTaN0jzFuDV5/itnzq6XKnG8yziO3SdOCCO7
9jRbrmOtmA2MJPW6Ixa+iQmdDvONYybE2ugIAou5ljI/hbYI8kocZOezBVDd9ho0Ixnrm6Vxb+ak
25Pqh8kG7HyZkFpgW82RcOor4WVvucxeBXs6Q10f2Fd4YrZKOZ/EV1HfbTwjP7gx8TH63H7S2xAi
nkxBzom1Sxri4wUwoRWh5vtmpMYc3PSeZdnG7HD3l0+Rox0IE8f9o9dHQBQfeefHDOIshrLFR0iC
F7P7moQADUR507VbQhbPw96dAq9Uw5jJ4HB2tbeZgCfTIqJMt8q7UY+OoWHctzNPt5H0j1kBJTWW
03vnWEdpteW2SeuLMp4noppcE1tUaK/Dqr1tEzZ2XIv16EiaF0WETaDvzOt8Is12GYcnkZrYe0hZ
5/5mq8foP9n6RH1JjApXeHUqK+vMnVqLCRQxXnnWpHtHY4EL7SBaz+lQbpLaYKI3eiRX1cujXlSo
p2pDbhA39iQYbxr53VT4mD297Fk0rQVPoz74eNAu837S14ygj50gjEDTG1KTvOg86t9BnG59TGZJ
MRlra27o0PLyMVzYgQsbD8Ep0o+tN7RBP7o7ArHeIdkD3ZQtvnjr3euKOPDS5NMrKJ8jy1vIiPDv
8Bd8Wsm0JoPsI2kQCfWO2AKD/XAdi1gVFafR6N70NNXWrco5gj13ICsFRXDst4mnzAkmBiyr66eN
JTRikcrhxFDtfowGFobynoDYuFXa9W00901QAU5elyGjU4u9jpEbcFGns++ltwbRtYwjaYn88THT
qNgT6Xymqf9i65kyrwLBMucM1ynJHxdlkbfrKE3qNefKfUQifWnZNWviJOLlrhvEVTzxYZ1fxjRX
ERwNruOJv4frLs+ZE945I/f3mJYfFquK27HV7rMop0/BDzsLlbgZ9ehX4rMX3jP7ZszTsngNkZWp
xBwy6GXXyqkMzOEyO9SGQmlNVkuaVc1fw4eq0tzZ0URIiUOGR+3n2X2mmf7BXub05JjTXdMY3EH1
R4G5JMnqHEt5/U3vG2RpRCrGk6hp2dSfDW2SPlpWz7JPmKMYPJT+Zt7JWKbnBQSCRIibdkh9VWmQ
KReEBVHTI1524c5V0Pp1te5y214h6awjswZTZl5YJHtTi4E9YaWr5tlUzunLrnKfYs/+SLS5WXGs
Naji+rYgDmSM5Rnl7Cus07OpT7ClD8/RYGHuXcybttQ3mLlvKt08TLq4YfUqcET0YGSE1Hk2kx3t
zJ+iE8v8Jwm9ZOn67YLAzS70N5o1orLcNMgINtywUbTOMFm7XcsaOSpfW4+XLlHFbZMRS4O1hCnJ
xJSINj31BFqtuJJ9+1AkfrYJje6jY8PdaOZH0X3YA5/E0XG3psUq4zokGxmvRzhRxKaDFGKjjdJ9
cKNx3jVNa6zTCE+97dV9fZmZ5lNRWfi1F9bExzLCTphybq2yyqrlqmCXddfLql17OXWZZxYPGdFF
4Cyepil/IHX2GROJea0N9nLiwmu2bd68NoZ+iFvz2xx6V83CnnvuR2qZDQsSml+QNCNo2jRPtsVS
+HdW4cmLqIhvkyh6Y9og1lNGKl1Lo0ix2bPEVaIzW338XBq8i1N8B349DXxTHIexexr0akFmNItt
qKh4NT8fS3LcPWs/4wyAJuQE3VAvV4I1lzsnRbKV0p82Uct6PU959xj63RBYvVvseZq9oMn7wHLG
cT/q/bRDmarWZlHJ3VRqMdUe8e1Rj2KPBGfvJ5yoe2rZE9bQm86KVXO6S0dVoIoQtgMzpMXR7yi1
n1p9vo3s1jlArHyqVMIkIS/h5d9fuxQPP3U6lA6GBigQM7lDr+Oyo/TrpevkQw0LtBlOlYexXL9K
vTuHn9qmWyCA4+9f69cqQr0WnZ6jmzrAVJfhq+q6ftpM6roKvM/UTScv3ITZQyNJqnr4/3sJ9SP8
9BJT3uT5NOTTqebBBDKyiscXq779f3gRn0bTpbbSDVV1/fwiXYyTNy2n6WS2dw2QXgH64PD3L/G/
3xb+VD+9xB+W3HsU3Iicz+lkebdFs12KfkMVUrqvqfy/vJJyC/5adf36Suon+ekvlsejXThsjZwa
8NB6yajKOA4FwslmLI4LvOa//8XUD/7Hl/M19rSgC5g+E/1fX66PUuI6e32iA3rSVRiPcxfFZ7L4
t9f4Lr3o7BX8tfRyKOqPNnnN/6TX4Ot+9Bo6DYXCT+Jx+lJYeA5/9Bq685sO6djlMPhaRuSrfrgp
aFAIGtYUP4lnlx2C33sN0/jNwd3quaQI/geR/A96DdwZv3xG2IIwbYuFCEaLBhIMdLtfPyNu3LTl
LBp5MZtM+Ld6poHtrV3wBp8aKbg2pRY4HW53k2nssicZNptKyuWUE8yxspvQQCP1sFDtWx34DYv/
xnuEv3td+eErEOLbLMyKk8wA0TaLY2xNW4+od7XuonKcz7j2uHGJtORpAA7A6MvcuB2LZb0zuewu
6fb5gk55EGXeU+4zI5TrmWCudZpG7WWt6Yyrkf6ZW2dn2JLKoKsnuW1tqtm+IWgtB/C7hifMJB7X
yKU1ymNmJ+de1YdnxI9m20z4KKqISx61tQPeAGLVdvZdJos913BDjbfWsy9kHTdi45E2plniOef0
rp25PLrxcKc7RG2GBfo4Ony9jnwpLtvUeZ9KLvqmcvUdywafS5q+ILZjibNGvThMoRue11Yq75kx
hQyFY4D6JopCnH700WI8U/Yyf8cRsh2dvAncLsfLh3oAkcov/TO8gfrGmTRxtOpZO7dJ6N0lsIaB
yA3Oeeu61x4rbrfUgocplneiZpeyskprp3nVteswLISPzH6nZrFzUtHFLRlzD0ub0KhkJs71GD6e
K9vYJrkswuigmdlZH0q934EekJTJS9s67VXMezdCxUguJCl22CoiPWRQn/Kd/LXni/6q9vwGtwfK
iX2oe2ncCYJGE6hK2XJsx9K/SvAQNqtq8RhIQOYxwyuf2QSzgcz/HHU/OzewaZC7ttyy96HPwddD
+68/30TW+OvT6/b1vX0tYLH/iRtMfeWP8wv1WKNeIUPdcPFa4af//fxSwjIOfGxd3/+Fr/pxfgGZ
MzHfo2TwHyaC3Dw/3GAeG93ozZw77E4r7fmfbGAT2P6H88t2XcCc/HRY9C3Kgz/ccfR7ZbdU83Q1
5wzQrSEhMXYkEVa1PoU799tOZIxSsMSMz1NanNVqdYecd4DADWSBUOJvxKKl30Rq10eF6RWS5EAH
79aZ1i+vtloN8tkRmpym27gpeXN1Ht6ag3AuypGVZMlCwLbG1XRJNbZJo/ihx7Q1MZPbJr53BHJy
tFr9M5vlwxQXODSyqyZvWRo29j7WrZWfFuRrF2ZNBjNH4yJNMgo0q+McIa8Tvfwjda37yREv2Sg+
pjHmLGBwvJ4nidesKr4Rsc5SjCaAVo8D7hzgBZM6o0efMKDYIhrKdnQCfKFcjgPpn4OsHuKiujac
aONUDJRciWbSDGRHR+1uiEBUH5zavGHMdYHg/rFwisny5Oj1xKg0Iw/Y2dI5PhaNCVgmfI9L+260
GfRq6aeMrDpIcuPaa6VceQMTpzHq7ivRGys59CrOMc63c5/P0LRZpGgdRq+YXQL0FWvfeRqu4pwW
XSsHd7VUbMoXCSsJXZj6G9ErVhBsswxs9qoQRGoMIr0hQ9UIZoPtglTSB+oJtHO7EuYFrVpCCOFE
I4/x4biIFiFtJppVVNpumLsDzOgE2HkPlEZxsIYvJFb55fk1lP037ZQTOP9yBefsnM6mw4LunIDp
wzuMarSf8RLHvULMF13vXvRh3/kvrb0k34q8AtDv67kPX0snHLnjxnA1dt67BWRqZMhyW1sTUOPF
SO69yXto2d9gyEiYPIgeZGeG5ZOVGoGoB6bv0rvzS9YTChs1ORx2Oe4Mblz9XgzgdQbMMv/D3pls
x22kUfpV+gXgg8AUQO86M5Ejk6NIitrgkBSJeR4CwNP3B8tyUSrZdbz3plyWnEwyCQT+4d7vktE4
F7tBFeEtnuGa1tUortpFWKDzWZosAcZoKj9xBcCZt2S5Ri43XhcTenG3VxXDl+GlRVNxkqkxoM+O
3ioRkSsE3RWTtbjU3DLoVnrPIFxjtS69rt83fdDsjcbJ7mqnzq6GUhafUmPqNhUuB6gjUMfcbtN1
Dr6NHpNwSFM2OgWSODwGSEr6ctWV05XqQI9quPnXOW4z344N8KpUQdspDpxjN7FNDKp1HcFYmyxm
LHSciN6wa4UWa10D4stB0zz1JU2UYqVfB5vY7YrdWJXpa2raEBZ6hbexdo+pigCXzAjlm85bYrHn
CtmJ7TU3yhTBRRSa7tkdJkhLmPG8xZZHajd35mLVGxfTXrfY9zQXI19LqbRKF3Pfv8+jb5P7v30e
HbjSflFJf3gSCfs3x2Jgjw3L/UmXLHjeeLpumIDK5O/Usz+fRJLy2/IM6RCBvTxveH58fxLZvxHD
Lb/DU5fF4z+ppJ2fcaeA5j1z+R6gMpjgwX9q7kzyM8m8lx1xXE60Lcss3oxlzmzzZjKGGSlI7EXB
7PhWNOgREvchVb4tOkMgeec4IGFzis3sVLtxPV1hNbKRT3Bn2g1mm5HQXcY9WWTuhGTaSKVmZXGL
3ixIBs6IwCuLL3Pj9Na17HuvKTYSuBDAP9tWLSHCWp20z3IGSzFjZYBlgURkbAaPjF3knrukrbxz
VOvRIYTItqqVsu7rsuLgxC9Q9yWsNStNGHXXajiBlZy2iIlJ+czS/lY4qXrRC9uucHRF4ctgNeM2
a/X8AtplyWi1DC4Tzba2uHsiRK8CjLurzOlGSAM+aV+qc1pIdSkwM2wahLOlQhKNIMZonmH/tOus
Qy+zjlBdHSI76T4ZqkZfw1Pn1Z0zbzdEmWIiDaUJI8Yu0yzz1p118ImLsjjr9dFC98Z20u465KqO
TjQRxrdtSpYLLGWBzKNtcXyxDjBf+DV1+zrQsRuIChez50XGF3Ou5utonhMIG0ZvvKTMLE993YaH
iVXiZ84XE4qAgfqNLMnN7Ob9Vd+nr3ykxaH2HHEn2ljP1gkRNmdLIQ20odVeEjwebsLJji/tuG13
HrAtP5k993ImdXmf1wUTsiknz4ul6CuymuwCB0j70OdlD54hKfAWxsaZdNYMqW/UpohhA8b8Y+3c
MKDWttTi7bUZU1agdClPHOzDqW3TI6XDTLSF5m5rexrflRVle7fKw+NYxhbfWyK1M6euTtZMS2RL
OaG87Tpainpyi10Vosa1sNZRUDVMFGbDC45ZozkPjNkfsRYaF4bmVld8+8FWS3Pr3JYGorym0a+m
OSKew1XJIYzRWVETJIx/q+k2alwF50PV/hT3ox8Oc7Bt8T+G/1b6f8wp2N79daV/emt+oRARHyhL
QjJTcIgzgPT4x/H5fUYBYhr+nWBEQBdgOvJDjc/x+fuSUui/4/KXPeX3k9XiZPUwzkqb0pL4i3/m
+Fh2kf8ZY9k4gJmXQoGiAYeIydrypxGFqEJdRDOx7NDYIKvGDQa9yMg2sra8nRzc5zYI1bZeCH9i
mhNLO+at26MwlrGRPMUGSuSrKCj7+oAkoMoZuydK97Hv9RLub9Ooa1LTLiszjT8hHcQBFZmzxIM1
tzTRUfLFzGwO8WIKdxUp58IPmQ8HE8U3R7xhzfDyfr9aaxv44MEKtBw3nuhk1j7lEUY32MxYvVAh
mr3Txu3WKMZYHPMcbPNdONNss7UMEtY3RN2AJA4RkEjkjuPQORug0MlOS6faV3UgdkPqCF+N9bzT
U6d5AAXQi33qTc7sm21P+vtkePPoZz06SKY4gYa8wao0ZNvV7Jz7qY3KTWWUzl3sOM3Cza7QRaLA
2YkqSrs7sgrxnDpWlV2NhhMZu1ry77RI5edZWR4MCvx4SbMao1Ie8GiY+r/Fzx+3KHXH39yicRG2
v6h+eNH3PhyjPPoCm3uRvIhvJc6He5QMZRRUVEdUMUz4vrfhzm/4UV36Yxdv6u/34Z+36FL8UP1I
g7mkZAj5j4ofyb3+0y3KuBLHGBg0gtYwy/94i4rA7EhWkvYlQCKzuceblOWoIKdcbIhxoP9w0R7F
oAtTE/SGM6K1UtmNrpmATc0sR7A9dvG6k3qAFtN1WvBDZUOIohywGvd2yw3VtsERbCiq3zIr5/Sm
xH1V4cLClvplVAZZFKZ5OTlFvbEWy9YsR+wzdfRSSmQ9xmLsYtpKu65r6xHPFwqAdJ0b6bRR+MEi
EXzmeY1DDCo64vfsd+dYCimIBhQ72WA3mEnALcnRWZf91BVnS5vgGmJ+jq04wDWcKThVxKYFxVC9
GBCZQpCbUD3yYC2qYtvSN67LPNnXibaPY1arY1O86GaTULOA5kCqfB+H2qtxrorpXNK2j6bk48lm
9pNZ8EnU7k1e6r43DbtkvhGdc6+G9tFxgTBhU/DO/3Yh37oQbo+/vhEvntO3X9yHvOb7fWgYv5nI
aahTXSZfuvkRPWT+BnCZG4rUvj9ghd9vRAJpUAz9OUP7oB0y3d+IWmAOD+KCO2fxVP6DLsT8byLh
cgZ4/DmJUIArfk5pYpLNqVwX9lU6ZOFJC/M6uBvHtKj3oGDSnSLjBE06jvWahTh24OxgNSgt7F6z
92mAOCSfDDZSSmcunjBS245Ad1eWXHA5iP1dG+WMSohWSeHga15CXsIc1Dzh9K2T4+Fn+7r1ZvfN
TgY2vRPOyiCwZjSAUXgqRnVKimyruQMjLyPpb7uhZRA8Ol+y0SsAx0SerxDXZ3q5n1EIKCO8rUUB
5cuBIAOxdlgXebPvZnHptd4bRsub2HSv6OwPLFzv8OrttLL9rIVudSqC8lRHxApGVnwQnvqcgTp2
teguN+z7MHZhtLmcB1ZqVlTo4RMV8sF0Kz/Rgyc8Qc99ZAqGe4DF0m5QJAkSQxjD/qHNBHPUoMuX
pXeqYQgRrmKgmcwua3TwGA/Cc51bz03UXXWADjo+aIxA0BhLphNTUB1zmcp1XsLc9VwgezMacAMJ
5QxPLUVILytTbEw5HedA++w20c2kLEIau+TQh8Tm1LKdOQU4Bt3FryUCjK+q3NMVPaVUKNT+5do2
m3kbTrCYwyp6BZhG4Hkl7E0hph1QkCMpyOaOXILLorKMjeoyotqb5qEKIss3m/femfS9kzqezyif
9YjtbKgb37WxRafuecwve8YpMQKGQdaf3MbFLOple0AeNxmpfOCQAPgMTJi6Sq7tkHnPqIfTF/KD
jm5ofZV0TOQzJB4Aj/nJaqojhtUvoz7f1GgAGPE/qQoPU9NF76Cf8QuqFIN9m1zmctqnzG9x/Agy
qHv1Nroe/idhsy2owm1i9K9ThPmD7nwrh/R1oqxkLtgsWIfYaV8GtqUX9MRsL/JFjdmhjMs2atFo
8vNj3pwW4SZcOEScA2pkuepciY0z5zTYkLeC3qUOeDGDJi5QhKOrOCBtrGCE6Gk4eVZBqkHJrKJo
Pw361czNcDO5idylmosnn8YRGqVxNM3EXON1WZk1r5njSrtKQoKQ5KiXPoBHBLB2bUL+FszeLDMe
D4h/7JVdl/HRdceZmtdWPp6jDjUdtkx9GLYKY5Krh1d4ydAuGOJsAodcQYq/QV8dbtosuaydiqwk
8choYbprhJY+FYDcV0aNX99kryKCpvJdWE2rxjFT7B3harDAiBDWBEGRQQHEYpfrxgCvKwuyE4Xq
h0s8kAQblvBwtOnM6NBPPWRLPQutVZ+h5yFa6qXptZ3AlrsaYCcWTk9Ige0eNde0jyLM3E1ZJWJx
3zRfDGr6FaZo5cNrIkVpeVAWkcSalTfVVqsyXL3drL/Wwvic5Hmw9cAh+6pR7q6YiYdM08zelTlY
hBbSPPVyXa6Esfx+AydfzVZwqr1olyl1GXNHkQbTHxOmf5Hip9Y1wpLD8iQmcxfnQeeXHpaNZG5o
sz13PUbY7Ey35zdEqjt2qi1u8mmbF/lNZMfMEhefJt7Wk0tk1EpV+i620yccPbtea+/mdBiI5gMN
EpHGWIj03PYNQvU+hykmm11QVXunb99DM4g2No3WBtQHNyxyI+PsjvmnvE2yCy8args+UVZ5QCfy
EnROCEmGscgjpc9WWdWpD9y3sTQEIq782KWKhlqMO4k1898K4VuFwArpryuE8/NXsMW/qBF41fca
gVqdsEQW64iECYC0P+7MdKLpbCaYSDKYCS2BCt9rBBiEBBXjgeDhTTG9ZDF876ed3+RSG7i8wBTc
Ff+oRrAcvtKP1brLBBXhL7GUyGrcn1MdNF1MrdGJ8Crw8q1cbIYdMQ+EmTSXBME+VjgRq7HzNjPe
xGXXtCvy8JyV/V7HvWgtNkbl2UymFFt+mZ1GVv2r2UuQtw76RuCCLBY7ZLcYI10ckkCZUO/Hnudb
cfUqegb3nUtOOsFqgxieHHyWAr+lvRgv4zD64njZRhtU+ED0iw43OD2FuQrWMmCzw7ddbnu8nOVi
6gyF8YQzHhTnYvjEeNZuFMFqLJiCd8JM32jcsVotRlG3TBAC4B0t0+gGI+3zjKdUW/wi3mIzLe14
9lOcp/ZiQe2xeqGThKDVyvLFxaca4VfNacGQ//Ij9ouZta3ENaxYtnYEAeN2TRbba9LAZW9j49pO
kmu9MMdVHJOKoxa7bLYYZ+mtB0wM6hXfJqNN0cfkO7jZdo5sug49+QTD+JqOA9ukjuKhhbR6gTj3
rsWxm+eCmCXVbJMMF7yGqzfC3Rt146kqI30tVYSOGwdwKMDfhiWnFd1BuSp7Gx9f3LobQBjzPcgI
gPil3aPrlAkFAiZjJi/JFnzMV20xIIdkU+Ap1HlqLPZkU7maX+FYdhbnsuVWHFpBcDMttmY4vN52
CnWszlmO9G6xPxeLEbp0NDC+lGOxBIpYf5kYQOzakGCCrIrybRpKjHk4q3FCMJXB94zZOsCyXaNl
lRixszB/7bwI5/di0maqm/vZYtwecXBnOLkd0h3OaFXx+S02b8bR22Qxfus4wONAQIlfTOEG7vA0
QMwhKTI3yWIdd3u6VH2xkzcGW9Swn1/7RjexkpJU3S/282QxoveLJT1ezOnz5J4pQwBFjM5bU4EB
atiGFYpUD7PjUratZNyEQ4xZOpxcRu3OXYEXflhM8THYLNIPZLbv2DwSYaCIgsZEH+Cml4utXuU0
vFTSVBeL6b7GfR/olHW1lVl77DRPXmK86Dj15WLZN0Z2T7mG2VtzkcTi65+jmtQUizWVkjWkrdZz
bqgoO+u4oHIXLIANgWNsJojWCrpB9DiG3PNG6hKa0vc6rcC4nczOvJYqf4IGyTLcJZ8iaAE1MSB+
GMMFeEJouD/GwHwVlteyJIs5TUu8K73aqYzWPCbxJGhoCkQUOifcAzUoUnbbWCE/zWVwBSHjoh+9
dkM0ynvc1cir4TEb7mlw0bh0yWmeo52R5sdIi856QpVbgkddWVkPvqKxbnUCHths18O2HsXJNQF5
IFw6oN82fCflGycmrVXWSdf0d6eTW1Cey9Fk+WWQT8dSm54NghxXtQCrUI/kbQLDdo7x3G3dMRzB
tSSy6x4LVqAl8RQVa2cs7+Wdqfr2oRxH9TQGBuZMR2+HhigP1/4SpqV97NoqC69BiYXuoas160sQ
Qps+J2Q/73IvJQ/dCx5FRNCjPZI1gzCGrA6ul70Fjx2kG2WE4rrzbZitK67Cp97q9zNyqBVV/T5y
iAKRCyhOxSEEhjK4cef5aizI3UQrOK9p7q4zJ0zve2Rmfl5BgW3SzKBySt7DRt40Dm2UpmCpMfWE
Mk+Igazkrel1X/NpeKhtvKzcxWR5MElcxAa1Pl97Vnzq08leV5X+LEbO8bKA7MKgRSiRrbsuaPd1
psVca8HVlOrGeupwjmhoDUGuK5EeisXP3JrFsyyHyDcNvM4S03OcJi8GJugyGV9GTNEFmHp4s/Yu
sPBLh4tzWmKhhnZbDCVZgESYUf/Mu7iPd9rgXoWL+3rAhu1gx0ajeQgWf7bEqC0oz/ElsFPIFhe3
zBWEOXzd0eLwbhavd7G4vqFmkJNtxMxZmcVOWMPNQRfrXJVqBRP1Nk5sj5gTeRFgKC8XZzl7sAg3
gPapjgzY7LjP7RDmQtPgdsCYnjrldYlRXcMivCbb9DFxh9dk8bKrMTupxd0+jN0pwHVhY3vHQns1
LT54A0N8tTjj+6RCI6JjzXfhf+Cdx2AfrgltFaueXrtgfbMGjgchK9swF7+TXmpSzVpvgE+brVq8
+abbnZLFrU9T6fAfjltEWUdrcfT3MeF3MSZ/TECcz3SzkPtXqRbfYYB8rkECGDV/hr1ugBaQmvyq
dXyDzQISkBAFchG+JZ63tyENlBp/G8Ae6AZcyLAIciPa/VtPfqsnqfH+up68eG7bt1/tZ3jVh3qS
CAwGvFRstG6LjvfP2a/4zVz+2EUk+kfUxR/1JH41RlQLyUu3mA5D5vpPPemRAUrsGBBV/pKy8h9p
sMja+LmetIFwW2RxGLqFCsv7SYM19N4SLOeoq4lZqvSjIUgwZEhM+OEUE8xpBKduTkPTn5JhSB/I
tsGaylop7g7VHC+IdmdOL1p0/7OfjEZHKaaqooQ/WZiO/TqiBV3qhiaYCSlsaJnZUqMjEaH37um5
6O4I18OohbLFCjYBtHvu46pUTgPmd1mB1E5ozGBKU8WNMpdovVeyD0fh50bYzL4lBc7chafArjQV
u14HZbxrhtCy7zMBlXQLiZAUCEEDWzhWt68ok/ajOfXJuzLdcRsmbJz9MExQjkOG1fcRrJajFrjZ
S4ypd+NxLoLar6bB1zL260MO7NqLkMTquYbxhxX/y2Cz9J7nHEOHPmkRzT4gbHuK3h2lkU9VuO9M
zqxVlxNkLCv+rtISrLhDj6EfkdMpCsF1uEuTHsY8QJDLUjY1GiNmKVO6/i6FnIXmctXwkGSkjtSM
cCp9T6YBcy1A0M/CXVbJcxkeq0bLrq0JcRvMcm/nVsVbKmd7Z2YkfmHrtXZt2cW+Dhqf4gW+v2X3
2XWqY7Ii+grd9EBSc10r39Ugloau+RbBF9gzQ+eyWIK38tDioClDwqwc7aVKYeg6c9avmda4u4h4
NKkCItiICOU0Z5C4UQ0MxqwjWaMs85aMQj3ZGFqUnPmeaQNKp0TaM6xjEo82qBUZIUg13XheYO+U
V+Z+uwBayyX2ymwsd6X6AHTDTFRs7pqfsyI1aKMpOJrG0knYpuKkrwH6WFHI9NhEdiDh6ht8XYhj
Q9XdyJgJ1zyJGk/ihOeKJTclvO6NfktGwoKsqPxRSHIyc0COwVike5HBgGDNl+//PTa/HZvoZ/7m
2Czb//P/ivAte/vV3oyX/nl2sttmUM9Y22Bf8gPNENWQRyduW9/yFRcb8Pde3PoN6SqyV5f1E0Mt
Gu4/e3Hj97U3x6oNxQ7M9D9KEGKR8EMnDtZa15c1Ap0/Z7i+/P0HQ0jiSsZXhZdc9rk/2xKU786q
Hz98MNffFuUfzb5YiH7xLuj7cToTN8/4gI/n47vU5GyxwbaTy65M4mxTujpZfx50gXVAoKGfmG2D
0MMQFzJ0CzA9UbLO5uA0MM6+1avoJotBzNpRfKF0nVm80Oy1cHtsgiLW13oYHZSRH/ohOseDt696
caHP6qadjHM9l6exMa/Y2B/1JMWxRhD7KtFrKO/L8RL04E5iw/sqRgySVPL8ZZeOzMn695htOqxB
BxYCgkd42wGvHyWKzAkgonNU2pzvAjXKTafRZSWegWion3lqpF2Ba8GwHgLTkzuZ2eYXI4fHqDGT
2cV6Gjl+1NdV5pdTnT6WpcBztkTd70MP/tdBmEBdmFS6l87UTozOQJjBGADhv+rMynQfZqMmD682
sl2jzY69E6XCnwfPm4cuyU123k2kV8MNv3JrQzvz9StmAoBaF9NiuRTcTO82DtpJHgLIGBrpxnsz
s9Jjj3zHveb9WvOLPYWyPRlTSTWMNfi2lI09XkcC6EQdTt7Jaxx5xNgaPuExsR4HSXqgm02I5LuC
tslFtNWsEUyree/yRCZyT7XefVm6gCbRBPjwD62NUY0RjSD9VB2G02Ew7AGxcy/9js/8ApxX+9yy
uBkngC/T6Borr44PGg5THx0J+1WQ2be4lI+JTmCtVwrvFkmTWDEYhSo0ecjgKvj9Y2oR3iDQa8SP
bm4PF/zqho1TM3NpOhazLcIPNkhjfHQgafuSEfSu6zKxLrzAumyjgYZiqtudYw57ZRX4aUejvUEA
KnjC5Oe4yM7wxYot850bq7QJfugJmnayfRmDoA5N/br11F0n5HCPy9J9x9rNrindOGp03su439h5
u0mDWnzStX5LxwvDukx9T2NQ4TIBJpxp1TrV17bt3oq4eZuS6YE17qYxh6M35lsOECwt846c3/Pk
Dhs6rD2ymIsZ53LYDC+63bMS0rYZib5mA4ivn14hT/Dceg30XmyUk5k8xVGip/bwZDvxSzY7lu+0
aXtkGxCuNDVfED96MEPj7BCdqvr0qeLX13aIxclO8klN30JQ3vf6TK/a+mEO4rzW65UJ2hCYcaEf
EhtehpgYLkt5zc94a8Mh3ozxHLL7CUCUDXp8plcFyhQYN12GzlXV3Sk0Ri5meINZPaJ3DXg2uvl0
8riJ9FJCsmwITXAv3Mq8sMbyUZu7dUqr0hvhTVFXF2gO14PhXeT9cBN5bJ4MwhkCZhJhOBJJRBxR
QrTEum/K32OBLlMt/VKm4kvFMCBu01OZucekFzezEpsMnluZZWc66HWd1dNplpJajCLBZZ5Sp3Lf
k4DmNWw5IhrqaVZHt5ynQz0TVg1fk643IGQkKrLNFIKctkcz3dVetQtazMLzpNXbvz95f+GuEi7C
qd+pEXiR+OePJ280CSZATsa4sk4Nn+RlskoHwnFzyJcXXW6qjRyADZakjOXV/Caqur2p61T/5M4u
2d3jeNs3yYU+BpvUk4/62O3qyHkv0iRkeoZnHbo7MP4l9mLmms6WrK7AbteKghR/A8pQ6XZ7iGAv
UFL7dZy0DwaDEx/vLDBu5kqrrFiret2OB1GlbLuCYieSZmeABc8IrSNB+uuU5XcgFI49c9i5zY51
D7qkKi/c1vB2nZoAQE3x3hgje90CM3cCSFIR4b0hs+dNq7e31tSLdRU5Rz3yuK/RN4FTENiqm/E+
iQcy6B3WicZkXFnxXKxrh+SYMU7PQzVfRm1ySJW9s/F64yuoafpTxnQuVMLcDbdICH07rC6YFg5A
VYyrOFOnrM/3PNegKlSAPsupZeTQXKVJdotRlpUWro2NU2gxyTUUe01zHZvtsMlJ7KH+S+4tAo5p
MOJnD/pojAyflV1FKPy8TdN6ATPuRJWjhxVPST5tchOWuWftFeeQ2ZZfS09e6LU+YNLSvgbCmVcV
iSgsdkZyS3Jx0KrlLOsuYul8NvRsq+v096DjnkhOEeuknVL0weGVOdtiA/xo4e4mpKLlSf9QmqQK
ohxpGMWr/PD3lyrKop8LEQfbO2xnUJ+utXBPPpYICSgi9MA5jMQ+3pjJkdH76u/f4UeJEF/SlLSJ
7NRhUaFJWvSHH9/BdDATEpYVXmYOQW7OFXOdfVzdNopo5yZbx6RJe4n/9+9JA/rDz/Xf77r83B8K
rL5Ku8oyNe2sT8UdPkjED/wfnoqf6e6mFTG8ybpz7UcnMA9DDw+aiQ1pZIVaAJNxuS6a+XOpyYu4
I/8aasU285R4cSNLbnI9uXfcXG3CdDrJzHpygnQ8isx0eq6movT7WRa+W2nkZVd46mUxTYd+lOZL
WSTdFlGE6cdx/Jpxrfq1TtQ9J/DEasTR17TUd72VzSyOGe+Fg3HIQ8AsU/eVJeOeh9Kntmm2TqvI
jLeTvalHGsIFKpRMFcVumnt9XQPq3DTKpoWKx1sjKnAnxuSKmKGzAht34qJ/r1tlrNoqPjSWRkar
9WmcATzo6dHuShbwCxcpDojDS7oYHmVvH9I5OaE02BRTYGzMjLm/GaScsvrjsAxY4yQ/u9G4Kxrl
D8HMFaz7aRfm7IqqTZnk7qqaExKJs+Bcwc+FsrQXpTOv3XC8QylJAVdpOFTARJsmmX+z7HZaFWMO
7ctnJ6zPjZ7f1Ag4kR53q1YcBxvE3mCbJMi6nIjYYYoJV07AomBo+svK4RkJk/pAX/fm4oMhcdZl
rG3twsq6kCpb/4/L7X9d40sh/uFqUxYlhgGi65xcFNfhpbatT/WD2s0He+9cuDx61q+GWrH0PhMG
ffr7N18C4T/cwt8vdVRuCAQNiV72xzdHwekWKciqc7WxV8WFsa62mHXESXuUW93X76+09cXj4CfI
cp75n+xyutBXx3gbXJoER/+P7+bHxubbN2OyBMXk59BG2T9pdiddMZQVSXQZ6ddg2Fax/tgM31rf
1/H/hm9MTrMpLIuPjc2PZ9Z/v8ey5vzwac9N3mtRlEU8XN/CZu9NN3//if7yZ5BoqOQyR2PE9ePX
z0dnRtRR8/DWrmuP+8Gm5vx2Qv3rPrX4NP+6fb+jdsMn0v/3Hn153ffeHYOpxfZ6KZycP1ykf849
TRL7PArrRetGRBQ3w/e5pwGMy2OzvfhPl4zf/8w94XSB1BJADS3iAcVC9/oHWjssqz/ccQjT6aaZ
AXCdm5bDt/LTBSKCvu3Thi3A2OhyWwyW4nENXYTEoD0bY0LQJjyamPP0K34I/aRTAXCOkmRyQFlX
fkZk0p4dd+lGTLO+S3rH2ttj316qNKi+VkSO0r0O8UWUAeFcuJ/xuvI0uNi50MbrFuP4VZ0k1pOm
07KIgJtxHQQi28xFUFymYeV9Re92O42ZzfZEaEcDNvludgkf7NzJfsoG2dwpg+akayN5SPtl5Cp7
DXS3jUfU7PUOJXxrvLEszj7belbsIbrD7a6C9nnAK+xHzHB9JOJqJxMF2ikaqhuVFOjPIb6GcVht
BlJ08EhqhTW8lkS4WydBV8maAgg90Pm567U3lFDLQcG2j7Vh0BbNlYwqtEvoVqK7KPGWvWMP7Wvu
kOWrS0zlpbPSQysaLai2ypVIF4ZKaRvbCLP45GiFxlShz6YXvFE1nG/lbb06GJ8clpXPgEpsNGPY
ELdh5NjHCbXbXafK+dm0bZvgIyPWT6FiOBuHDD+DaghfuJJiNuLz/By00fzmxOPnhm6hCOOjtsQe
5cIBwmg31R5+WQg+WPTTLsVlcwoF+5W0HDmTOxbsqzEv4QzFKoy3LfQcevkhJ38rrR9JDcwOAGvu
zbSOaGtqqhNdDSvbbbq9k7TOnRtV+aHTOu++0mvncvRqnZFu6aGx6uzyU4Dn6q2lx3jRpNKOZsYU
oxpzKDOCVrUbCFTWtHb04bbUHdyouHqXqCUPUxUUqKjdxRA7O1/CWcjN7AFNI+A5uZCJlZxb/GNP
gkhDBFNyumjTuXya+1E7cfGSACmXDWHYBJ+Bo6v7gnLOh7oc32nxWF1HA2ysguqQTtWyEIW2rSWI
tPeijmgLu6VDnpRcApScvTEYb56DeDAzj3JUJrjiht6b9a94A+MLepfcgpVXtcQXoWL7VqH+exYv
1py/PovPzzDm/vsgXl7050G8iJ5xH9AgMErlBP2wgEL0bOB5dGwIOosx4c+DGGWzaehIoS18AX9I
pb8LmuRvC97QYrpKN2AxmPwnBzEK5p8PYgwObMgsllB8F3zBH5/ULnNa2PEEMJt59FBz5a8zynyw
yTW195xv3drZCdaY9qRR4HsPAKO4qnqoZLnnfEpcAq3K7pAniQ/8Kmg3UpID4sdMJu6zJf6yNPSb
UCuaQ8cqngMwS7QXHOfsWQoBbeAkgyEfoc3pmIkzmezbjglH3if9jY52Emq1c6fSpc4lioOIQLYI
hbmpojlFjVB+mibtAdrVvck5u9INVAF6g8JFm0gTc488ljZkO7w2swmgq1CrkCi4KjGuWUw/GENb
kBDPbjfolo4ZK3ofFO9Tg4MxIl4wsNB+Gg2dhm2MV10jnusMuYo9mP0GlsjXWuXzptMZ/3ij64d6
Bxu+jMQ2xU+LnVCzpoMaS22NyvQkenllkrrXi+g093KNJ0uiko2YLxnDqRmqx0j3njSs5cwhTXJD
W7+zIZLFuAWbZL7vGrUdelFdikChVijfDV1Qpse3Xr9oogieq8L8IPLpIW37k1YO73qDKErXJrk2
TLNHKDsMZNqlHWG36b5uNazgkbOGF25sAoPq3qYEvjLYs7GVqWnlOnL8IjKru4WqWyYMLHN2a76b
pjNR9mR94Td7jabwWJgIo7sg0VeE7awL12Bnbu77vrkKMiApJn0Z9timrtj/OX2+62ywgyt4/Aez
a9Zta5+7EdqMWRrGOiqGrUWMagpdLM1GAl16pEfF+Bw6JcZ31BBlRmwpyAoQwUhcI1N71htAn81A
+IpIGcwgbQeYgxOdD9Z3dWJdjD5ySGg0IfoVzV3UMhY1uhypqhEymZUkLs5Nv4+GEVaCk1kIIeTG
RS+2Y87REQPP46JniC8166DV7QPLjb3eGw9q6MQ6jFp907WGoA8wkgsWrwiM8K36kQ2RKhjIpClG
YgiAXQa7SQj9shpN4wYAJQqpdNh5JLmj8z/maRvANzaeaQlsRNFTfCVNg8gdvL+Tm2/7rlUMIONs
baviZWrLrTHEn8sQdrIHci8kSHGdZFN2RU24goGw+3Co/aJbWM6A/7gI6UDYTfMEp47H9YRxcVli
f+gWKnMElax54irL71Prq21v/ucQ5Rdv4aH3xB/y/9k7k+W2kTZr38ofvccXGBPAojcER5EUqXnY
IGRbxjzPuPr/SdUkqdx2V69rU1EVLhkiCSIz33POc3hGAnv7tB+cymBs4kiYp6T50iXnqbzN3X+r
wX8LyOls03+yRr3m34qv0Y+qy+QPvlunSIpSwgMnRrA354/+PDCY0pNLxAsINx+PHHD9cWCQ9F6d
lKnLfclOXp4l/lin4ApwglV/5/3+g8OCJT4dz7n/LEO3Md6SxHMh8n2af9nETxz8BspJU1IPCgcW
S3N+9Qdkm8Sicawz1DUj+nU9BVlKLUhZX7t1plzpdq8YfMeL3IZR4zJDcTGoL7tGqx/w6tnTV0tx
WjLgfrbQpdM9Bgu+aHRn3gTNwL+xDm8AsJPalC55cnbjqi8Vd11joc/LRP0aVLjqK30s14V02g8d
nv9euu/bgv/XkI78LtHr5/LNpS/9+jMgu4shty/iGCTugDsCSDuTJGz+nU7B2Kiri14mAHjS4UWQ
TzHCAZz3XXxK1ip0zf7SkQmCrI6DFcc8YwMvhnCeTBrUCcMdkHwLYwKm6WDdWOgymTAzLdfbsTnH
NI9gdWrTp14mGTTtITJpKAP0cxlVQbhkq3AVzy0li8QgJjVmPRqAqeA9biJKOBzWfrOleMqRKQpb
5ilawFwX+VvGQqYtcA+qq+YtgkEp77BwZC6jL5G/+FiUE+Agag2Jb9CkZXgtZRKVTHYkfTFezTLt
kTdmcjUSAClkEsSVmRD/LR6SzHO0VpQl2SQoJqBgYxkkqWWkZH5Ll4yj6SwxjJI5iUPShgsyif4N
PXTlpn9DjXNj57u87vtN1pAG8YXiHCMTxsMChsoxAabp5Eet6vwrrQuf0hDcapiLl6BmZD2AEFux
LXtKtDagKbT8rrrQ2VslOKR+CFw4nk4pogDc4ux7OFtLZoXtaSKCA0nJtD2zdhKKWCAgKb3Y1X1l
X+gWq2gfTxzTCFDoWbYxQ/7h1rgdR6ujrHOSeeqoI6lpLVq986NF3Q+6eeytUrmYDJsMELaSs/XG
n64ZIrLBHy3D0xv4CGWctgfCjViuudHgy0DHrSur2guzKJZKUeAxZoKJ2tFt4G88y2WvVVnCJ7JK
F8NI+UnaB9raMn2HJr5srWTuN11paA7Iroquu/PhBDWlzbBbV8pLquumnS6D0UExbxWL7UPGUn+r
0qG7cpzXVhn3UYoqYNqHKYRUY8fhphonMErzmtd8cqb8YGXZ89wre0uLDlmIDy/qLP+YO1hrM7BK
6y4MbsJpDMBmp7s67rdJxYfkhPZFOdAwoMS2v8Cf+xJ09CS1IjqNfQGGOGcApbR9BlONFiGR7tzW
Wjk1jK8aPwuSGdGT74Jjatdm65r4OmdKT+1ZZQOd/SJLb0j9pg0ThI5CKt0oFAhbhsNYFe+cVD3p
ZncHhtihZ8AtBMkAV1z4zvy9rLRra+52NuxVI8tWoqUTgQppescSDzvXSyiMjaj7VROgNMaWc26S
/Nop9G9uwnc4S43X1p2uTQ7cS0hKx6miITgxvZLPGFWDQBlSEPKN11OdhIKVfcVRczvI+1FL4l3d
hWfwXqcMfDXJup0/Fls7KzwepImXWuoVdV60mEyejtCX+91ScXB9zcoGru/WZpJOq/tWNONasaRA
pkdfhSPbGTmpk/FKQns1lcUpL1VnlavFBhwLckQXnPWWyFEfbEfVWXJkP2DLX09phG0SkFUyehVf
Ebx6nl9rS445nt+mr3X6WvjdNY003JEq3WhsYwYa/yp0MNrqNZNrsF00fcpaQI02rVibvYWndLw2
R/c2jWedClQiR3TxbDKz9lzf5Q70qZ+y1bXjZt8nhpE84dbkFryGfjbhEIYLmnDH/nUL6/NR1Vq6
lpwbIcpHJ2yuAxp9u+xbPpWvlQpqFj/XwjYgk4ly3fiUfAUmQ5wJHHN4ZYAgLHrjWvfJYyiUFNbq
QoXCWKrqVnH7rdMoazVMb2JKXFpLu6v5TW3ovAthlStfAS+idmu+ipeN66w1o7kw/IkLVit6Hkdv
zJtlUfk54Br9K62Zj/xVBDVIPk8NTCe+SXDNwsEDhPPS5A2bcGUP/HA3KzY+DcoP+zoBYcsiEZZ+
RUfPxGZa2Bu97R+yLn9uCWpOpb0jY4NFjcBk0dbb3LF2KiOXxWy5CJv941CrD0UdXxeKhu94pASq
471zV0Hebu3W4u60yXr3V6Ad9iViZK90N2lkb53RP/myR8TMLnpfO4YFQkLewUhOpzNsRCy8A1xv
5yqu3YOhjU+lQGSuOZPornPn1+KqqZtT3ljXxA5V5kPNTccOtC8xztdzt8it9JBaAXiUSl0MJEpq
+aCai8cpafd6DfSrBG7O6Sw2Bq8Z5KYnx1ic39XldKHpxV7RKRCiUsr/guUyvWHGArpLby9qJJp5
GDgLJSw88Tf8+Xdxm+H9RVFduHb7ZOLX0ImbxwXx00j7JjL2+231mNThDsjwiectVr864QDd7EGb
8b2kI8ybVe0ptJpy7RrJbVa3cILGZJMY2jlOnJgQIGelYjAABdlbPxHeoCvZKpoLuoDwgwcDlSOT
LttN6HfJz8QMNrE/Xoz59K1UMKdQ4tQCPpKZfL4BDamM3l51XbCqmSV6hCFw+XRelrJIkBze9orz
re+tNaSdTdDba8DhK84xPH8afOnBOK/HLN9PbbCvW+uWtA+mopb+EqaKbZTQPM/AjH5w7nWc1pRn
1lqxS5X2OCvDU1OXX1Gc0doblyj+eOxNDnGZyvL3bkv7vzqhWIg3uiD5IeWbz5pJO9R13UW5clIz
oifJokiuFSzcP7+IFHI/HoPkRRiqqwYZSzxuH49BpKZUQXBNOY3Ol5r4Rvc0FoQOlxnO0Z9f6Ucb
3vdX+iQpF34xabPPlXQKJMxpUdoUP8y7QtzH3XNUiF+Ib38/fPHC+DYxlEdZYiD18YXppFEcPy2C
c688t92+Cr7m6dd//orYLbNZ5jKM/D9dwhcEdF36zs+0HMTDppumVUqRVRZsIuYtevsLXPgPXpGp
yQoQTqwcKMWnE4NMMOmT2kZn6CGLyMCKCoAm+cVr+iSiyWPJh4t8EsgbX2kt4XORuK4XbX1gLrv8
+bv2q5ch//zdwbtv57aviUifSWwJrBQJo2rSXz+/CGPGz7f1h5fx6aMpkykp+6yJzqNCtZHludEZ
1g8PuCcLT0pz0rvmF1f80csiOUjqGw3Kwpv/8WUlkZNFeaxFZ7u6qpiCl3SS+N9//qp+dA0c/MIU
BvcB2OeP1/CpnhROX8fnvAlXGV1sORP49O7nF/nRWwdrmjEMiDNbdz9dpBhC244iqiDq8ikXh5CT
YszDwPURpPYmDujBv/r5FeU99ekZxCPuryt++rAwXWDS0iYSkozHgJggJf3iYaB9fOdkqsHSbHIP
9JQhzaHhfnznmsLEXj9q2Tk+MLXdsXgewSKsrKvw2vLoRFnTcbD++av6eEk5YOIdfPeqPl2S7Gs2
4hiPz73AlUGbuA4wSS+2P7/Kj987k7eEldMS1qdPS8yasFusJ2e/cj2dMJzT/uK9k+/+50+H5DJ3
m8s0ixHdx7euBNRDPliJzzZH38nR2W0+RyZdkXH8i9fyo3fs/ZU+PeCYqha1Zov4rFmvoXNl+TfV
/IvH248vgTSrubi8Cb18fDGRlvSOOQfJOc9PFnaIMdIXeid+sdT96CvEzfbnVT599Endh+0UcJUo
+ZrSyWooq9pcW0nnJe1ZSTap9YvP6G8vi6QN1GNANCxFCB6f7BVQ92ya3or03Pabqn4exKqar//h
jfbpEszS3j+28z7gDQ2r9ExLNtVuoMXi3wW3/62BQ/Zh8Cpk2h38jcuc7eMl4nHMlJST1rlJvyrz
Tgy/l0L+jxf4263MBRycA3xPGLyhf3+8AI9Oe9DyOTuzz8s6IuvxLsI/nbuvb+/Vv8qhzkfyk6ks
ymFZNC9/Fw/lz/0xlIWGYKgwwomnoSFCSX03lFX/Qy+F8ZuoyOPsz5msYf+HKa2mMX0F6v2Wsvhz
JmuTa6OkmbyEYZq2RCj8g7ks+2vugb8ed5g4MBJhToTWYLBWMLf/eI/EtZLo9qyHp0wFD3IM0dKf
R00NHTpY8zw4FyRoL+auEs8iNAdsRkoOE2cYORkwZmnu3dAsblw3smYOZ91AjWputw+N0WEPAXdt
r0TIBNKMlPtRRxIag9n0Ul1PPH0UZwemZhdop66nmiOdXoZgftFD30T/uBaNk1GCrW70NIuQtcjz
a4lYjT2taEp9gV+OVoOG2SIWc2jh6vSSVDUGv4HHNvZrWTZLueKEkdgDsChrYkdZFe4srM7dmQHb
vX6gIioT10whrrNIaMvEwO/rj5ezUwdLt0ctzKub0tCfQyc2FgWz0HWexx1l4/O8cSI380gnsL8y
retY2IfeaR71jFIFkacHyp8whCTEyH2dtvLGhllbB7B0htLxyjm57qvyrjLn8mjUPSf0nBBvLZFG
NdVpNL9LCk4KcKg1iCiMeZAegJ2DdSsfYRv2XqOpJdzr+nVu6onj5piunKbbpk28Yaq51Uhfl7Yd
E3B2PdMEVero+ppoK6SgmPcAmOLgBcyPt1HOv5n9yCHcLe7zMPlGzPbKMSkoK9OvWhLeiqIl+tHG
5sG3/B0T4KuolEWjlh16ELP8RQAeNZC0tiI1r0Mhbs2afgXcjd9Eke8hul+Xk4N5XnXwQOQ2I5W+
iCFYj/scGaCVLg+zyDdppOCJN7vZa7Uegk5+H4sGrzLPxTVJ7JUo2xtcEoOnDGizeG/WZmX3l52E
PNhTgwhQm7s2Edk9IYtxWSfd1dwzxreM8DJnHkafsQqvYuru6in+4vcDrsQQl5JlqmvqUB9QVB5t
P/B0ZOI0YwMzyl9D7a+VCVqsP5/SJCLrr69d/8zNWlzSmHxI3eQ8T+I5EnAFcgqk1vUYAScg/g50
coLjzW2nWfGh0AskyZpfXHEeFBvCRmsNkafFI+zvWhaMJZdWmZ0Mt97TW3juGxgHnBywUtvmWjGq
Z7o+l6Gl32VtGixEwcC0F6cpwg8FUmivuBjp+wpJ329umcJ/Ecp4rEX3yjzrFjr7jp3GIe4TbaeG
NmC+1G08q+BzIJP3LdVQCPSZQKIzpqB3cnHixUuXSfhY1bDPNDU76b52xjy6rtzki6L4niOtN3YI
oSczsrOsESKyjRkga/OHUDCvRczUF4qap3uF6ifPkp3WviqEZ2fZCwnHZNVO6ZXW+I+pUkwex1tm
l5jJXWc+pHl77DRmnJ35NIjsBY2fyR4XHfSruIyWqU+fNrXQTapuTMPcGiVtJrQwHjscF9SWO/l6
SvKlqUt2swbJzAovqDEw9hENAVcN1XXNxdhrMiaR93QAGjO044rcSuw8dFmeMgLPNJAAZAbWVaq2
6A389kHO3L0cTf08TuYFmoZ2GfLF8vjMrVNuoxdbPXRWGAzjw1yBogdRn+6xEFmblrcA75GSbjVI
UQvKZmyD2aXPOKwXbbhtFYMsLD7llDmeqq2V2P999vHvMq2zcv5kmS7y9pVU0g+WaX7uj2Ua0i/S
Kbtkdv3S0MjB40/tVPuPtDnSwCXE70nyP4KS4j+uBj+AXRxnH/62P4TTN7yoy2lIrtBsjK1/skhT
J/J5kQZPYGDmdAwJX8SL9HGRzkow4pPmiMvMmPs1FF5zWaj2kw39srC7B4gKd8l85U/U8lbaSoeV
2bXBnS/hmWhMBoUHybKCq8kTAMamMSR3mYRuahK/OcHhFC2aJyaGXQmhUw2AsZddgRxbA96TGE+s
Ks+KBHtqEvFpSNhnLLGfM/zPIYIc5wf1RS5bzWNZb86EPKfufGaKnpb0nw9R9TJRiO6GxksttMdR
NqWjpBzBKdCdLlvUS+rUuw5p0pIN65PqPEcAI/Y5gL+VNkDgUylkp3nvWZUN7SZV7T6ZatTMeTtT
4t5T5u7SHToJ+8atNwl59MrFw2/Fw10XRk9OpGwHSuEb2Q5v6+XSbUwvozleiwkPpdPlSKO8XHoq
WTHvR+G3godL0FI+X4nh0pVP2SLSd2axRl9e0CRBtvBGWvJRmtrkqZJd9vyKm0a227N+LVPZd99a
pJ6TWGcGbvqLwmqabS/c3PMHg3mvchBZMWyLlhJQP+pWQxGjVIkD3JJ5bQJhkvXN24rC35oJ7bLV
G1aPWt3UYqY1r+/Ok+NSw43Oovp9vglztKYIOTbNuV6KRGIFwBXt+os6TxFZJIYbNI0WzJZH4bsS
BXRgCn6iNPAyK82liAmOA545DEFIfMpe2hbh8tZEuUpVCwyHfH4HqFGeGHr4aglBodSm6goQXwbE
ja7ZKXKROTMwKq39gsK5g4jUrrsGoQgfk9TnrwZbNJ6tsWuqDACFceWZVXyda1m8DPnklNK4s8iQ
V1SKrjjPOodK0bALF8cypj80G+/DpvlCegIvzTD5y1kIEE8Qrb2pBlCSxO2un1p6N4m2dhHL7Qw6
wovC7MpvTINO03ELMaFY1wH4IRbugS7JnaFH1HHYCIh4ioqyPJl1yC5O3VCugoSGFkeABeErNW7i
OX8m97tvteFYzISZENovwAUdVNihekaqMVXLndM7X2II+W4YgLzS04UgsjI00U3ZKXfMfndqXlx0
pDIoAdslYAtZJZ/zJr0TScWbOg8H06j39IMcux6/FwLSVZr1G0yrB7MTYGGGbekWO02esidziyZ2
EZjoh/Vk7EsyYEOjnlUcxeturpd+0D4ONpzOxpzXUU0jVScrbWb7onb1aysq90nUb81k6niFWbfD
NXwy1foYlDbKYI9rAPc1PoSbpmgegrza03527EJzGQbTda6m7Oz40idpuGan9hAk9sYKim0mImcH
AGkj+kEi/tqjkbuR59jGlYmQiX/lKlN6No9q5YVdvYNN+aiOZFIcNU2Xrt5d0yB/6MBQLMg5hvSa
ZI+s31u7672SihWA4orXofYbqXieHXczKMOqdYd1GvVPOW6wxlK/z03QgSDTVzObjEhlXrawZyXP
rukoRpxzhlRfO4XFs280jAsoWyRyRbp3g+7ADm4HKLkFr+nuKYA+mX2694NpWKAUHQcfIlfk5l/6
qCXYUqeX9O1uqsK9rEknsksZ11mlaqvI0u4jrTuMRJSNRMH7F9/M8iPkUPilBDqJKRxG0LDXAuVh
VPuToWmXagK8R8i21Wl40RWMk1EZoBRX5bJq+SxqzVrnXRBtKid7Lg3jOLlZi5BTb5Mi3iQ5RUXU
7dwj/15UTb8IQyhdjXLVc8TxdPOW1l+CV/OXOLVvZqsNDrlVlTs18K/LLD8q0sXpV+nKnK1nrRQb
aioWpsFmOW4J5Q71qG8T2qJ1PXhNJsJiDGXV/YQtmuOsvta00lqrkbGxK+CM3BQlBz00aRGo2ybr
Hpshuqny+TB1wa1fN9tcmQMShs59PkQbXvMt2NaHtgr73WiekwRdTu09PRbQKLJxY5kFbTnBbaTO
zdIR/VYhI9bOzq5uBGVx2rYOXN4a7USPc74IUX/7Tr+BY+2sVA00tlMPyaLXYJEa4tikrPertFF0
/NpDFd1bWdTy8Bf2Xs8xamRO2q/DSsDywIkSOT3fzvlQYTlaYMuuSdKV23qcNnaQu2eOHA5uiT5f
zQr7f72njTro2fv3VLb3gK9MkcdrVhgMKRzvodCn3sjh1YKD64fwpMYU+2PRu/1FnI705inT97zG
k863eJFMJPOMuNYIT+BTtdL0oS8CHXiuoEmL3NNaCxtbWWSxIByWBQf8DeUpr7T2MdZsTm/WXCvr
zhmsq2aAQps6M0ajITUhFPYElVblMBOb0JQDXqYLMp9n3UnW5hivbH2+B6F8HVTEGyodH5aRe3oK
BTTXqkd/sGIpZq5qrSFWlYybzmRXb7Ttlz4GZ5I4T6ZvHPsBYw17dkLQ69a30HKaW1T1aenY4QtP
1nsw4FucYCfVGl/92NhD94IZHKK7RgalyQrQ9Nna21F2BOVgeMLOwA4i6Jao0R1LdD3hzhC1f4pV
a5kmxXVL/AZ0yryjUvlgjdFWq4mbJ+Uuc8mfFWpCxQBWXvp2r9whu2lxQvfFRJw1z29zMoRepiR7
NRp2qqocYdJ7bIU2+ljtWt+ljoCeGLvagw58EKaxT3O6vg1WWsMhL19+9WMwPklwNfrsFCbMAbMf
rmqO8lbVvmahe1By6ku46UZ4CJ2bfoV9ScCeupRCja5rnUoCPfJcM6ZNMoODNqo3TaJwGMwVxQP+
ALQuWBFYXfs9Uwrp2u3cBhirts06/ZF5LyXJ2ri2ACEbHDXYWlQLGAEVT/fkMTVo3wIYvBhqfeUm
jIS7ICWWG99Di9kYznxWe0gSSavdToO2NuLyodCEiveFMK7SR9/8uugpVh+6VRsal4OlXvqBAb24
FStmiyvTtzexG+3cSHXXQQBFI5lfy8m6bEtquXm+twehc7MExWDBhbQH9lKltvIn4ZwKrbjIzW5F
6J1Sxla9Sk3lkLaYepXAWDcNrjDfChmTkPTYhpN4sgasVy5PGoT08TCODv6XoXgYqasoFfGk67Sw
lFH1qOJpALXTrRPyIajevGrH17aufPRUuHT6gjKzoE5jzyqTY4lRKgmU+aTo9Z5Oo2qp46BZVnX2
nQMjjJ+p4mDJf03Q87W+ugnIedBIRqmljX1majvIB3LVtszHUeOLFqukM+sRM0s1mZdaEl1y2PfM
2Ax3djg3B2jP0vFrPJDfCS6G2r9ym/QJ05u5lV93sA/IUTmrOYN248kJGYOU5pU2jNHBNXK4/uUu
KNVbHUreXFgqrptuE6jFUs2SQxVQ9mabcHKt7HvnFPS/GfoqMJzbpC0uItiDSS/YZ8LJbfT2cdKq
a3eEnJyX9mWsBTCn43VqmxPw8vi+St0nczSuEaGLvWWQdOpwda/11nyiK3vnwhGg5yfKN3nPX6xU
2rrQIgZRpJ+2ccowoMFwCXPTzFTjZtRinWNEXSvmCnCHqcdeYghlpWuRP8f/TDCAyu0KVxALZY3H
56p+OkCRaVJHXc+jU1wy/86PzTwuXPPm3bHy/NvQ9H0g89O4/feLQBvBZI1r5i0v907pTXxYL7R8
Ryd12in5UQVjpZi37XD788t8ksB+u4zNUNFEcZP82o+HQZ/4H6cAlY27/n0o7hTjFz6MH/z9Nh4C
VcfHzdv1+b1qqFMpCpGlp3zgRts6PgPwP0/fP3ibfvT3M9bmHeKNkvbij79/YJOAM6wqOzmcO6yz
9btH/H9UPT4ZL/72/nz6rEF4aCEdh9EJxKGSeQkjOXtpMs57TePlz1/KDy4FwogYtYOZxKao5+NL
SZ0A1M9cJCc13mKKadVFCY7L9FiGwZT+/Fry1/5rUM+UHjXy/cfCtOG9IEVZY9bbIk1PJbUYDTs6
j68Wz9SpX//8Qj96Ue8v9OlF5Xbs4iX57UIGoEti6eGadUQuxeUv7jX5S39+Ua4040jsgqHrUll8
95UxrFwvWHhpajTWfvrSjyvL//rzl/Oj2+3dJT7fbnNjsVey1PyUOy+x/2Qq/4fbWYaubFMGwKy3
2c27l0CNpNWaCmWTMU9AA3Tv9H94eMn2DEG1Al8b0u0f36RcydnfC604zfbLYF92eMLU9hfPrh99
6NzENFaZEtwtowPvPwhQw/SukF88YTPE8MzsWbOu+npRlEuCVz//RH5wLUflZeia7Nti/vTxWqFP
gaAbWznlyexJVmAmQrgw1aJgj3X9dql/R57yJvjzobt8aV/+H13GHFovKTX+7/86vtZfX7/9YODJ
T70beKrUmnHDWvBIhM0fvRt46iZypUtSAz/Fu7AIwiQIdh08u6uRI3iLQv4x84TSTsTIRks0ECgY
ff6TmSdod+6Cvx4Nb8KkTb2yxnwGN5v52Q5oKDqnmCpJTppqtvWF20al6kUcVxTIy4lNhk4glXld
FVdXmp0sOyBsMBG2426n+vEml3huaY5vnXv85oSMo/6W0Wq9V8e0CB99SewVLeUcE5Y6L3vD+Sac
lKFYbkvdAskC9LdIptOopD1jNP3FR2L3oDjuS0DBuRhBi4AOHiGalZIl3DnjPVj1b6K0r0uj4C8w
5nIbjBaxP6fYmo171YIm7gt23lmcyTEh3OJyaJM7H5QxzY0oX+oEQGrUTrTNXg0ZnYtCEpADyUIe
a4fpYQm0MRm2vtCfTMlNHoqpI05MarIoqn6FzSnelkYGjqy2HY6XPmjkKnzsEkLPOdvbTUAj/WKW
EoMhxYbuTXcYpARBri5QF9WbMqFLkWKUckUYquUqkRJGI8UMynWCa7tF4BBS6iik6EG5k3WKpBAS
aEgiE9pIJUWSUMoluRRORAXLpJZiSvimq/RSYtHRWnwpuuRSfqG5BDSQlGQIE6LOxFKo8aVk45Q1
ntTMnZqA3yGvogvTVoS2cxMyL2tdHuknO9G+aJVhLilFXthgAY5h39Gz6wDbJ5oYUvWxMIN5rVoZ
8ye3HrxxKujAqZNXyP4PVZMcChXke2YPmxSis8eT8li7CtlvnRspi5ZWmV6PYX5R6vWTriSHeIBp
V+nZrQFWgMOQ89UEnKwH9mWejTCqw9ZO4OBPTJ8Mozeob7HCeD6y4coXKt2nSclg3TB7n7xNuOsy
H3Hcxw89okOusjn4Oo8YQny1KLABcyQppHhouXno0Vj0lUwM021YNR7A2GZphOOq09qlnU13wdiO
Syq6LBz8PXPRiSMIJUSXrRiypaNaQLGDLAJ2HAA15/+kH2YRYgK3sXZ6iSqbECw38ZzZ7DdTGPVL
dVQvbYvKwKSGID+VYNlUtd0zi+g98iH6KmKIslAz/VmMGgOUqbgZ7BF79TTgGM4be1GBE3Dhhi9w
Pbi0CtivmR98YywjhyBQteMJHhaWq84i4Dv1xHRUErZdM2WrQiOPgpXaXTvc+qpmBstcrVt6lRhd
cSQlqjIA3rGL5CJv2uL23/XjDS+qs+j+ZP2A1MU267clZfftv//r95AiP/TH8oGtRVZSuiwTFIXj
YvmwfLCTgDeqm79FCv/0tQBlZhcLXsuysNe9V8zecM0IW+Tlybvp6j+LxEvIycfFw5QLB4oZzbM0
jbwhQd9tyqqiMlsI/OG5otrc2VZv6GPLPmkwdbndgzcuMpV2A5DkrgRdC6FS0pMnyEr12nmjKg9C
EpZp493CETb8F5h8sboahjxV9giI9PFpxL6ow5wVJTibSR7RZF+ZYdl7WqePDBlma04jL21cBCXm
pLZB48ckaBTgqeYSNWJuZc/gvyKIF/Yb4yONLWVhjLAuGerXbkzfV8MaUA1pfQpMSQjpDHARqwB+
CvBh5iTqG0PEIkO8+ffW/+3W54Tws1s//0ERt87P/HnnQ28gyoqtTifaxCf9153Pl0JYPMEJjYAX
xxH5550PDYKtrqzAA7lr/wbi/WPjJDu6Mee5tNuwq6Jc759snCjb+3zvO3i6BCcG+jBt/Nnyz9/d
+82MsbSzOnGJxMW8mq1aSabKCStzqYy0C8+L2e9QrhQqTtOl08I1ISaaUcTQRcwcicWp6dHpIhVR
geVM2IHXwA0wCTl1LJ0rVFGdcOk8WCnbj5a42MPQUcuxnIHS0EqTAKktd41Za+XC7S0xXnWxjfDC
oTxY21aNbDPmDwALQBDSQ9JKT1bT9C0sGLVfUKORMZNUmrXfqbdxrh/rXMCqRR/0J/WaWD01GxoC
ROGXFL9k+7zyD8zC7idAbgBy8SOVZbbpyh0eHjJRAatGJOLIS2xKstORiWPkkH/pfKZ/AAMeMts9
ayqbhTQwFkrXJIuSxq8FnuqSiLxzUZPJ0eWSGnX9Y0s2c0Fn1z6LGDXD0Tg3RT6tB8EQTXQuhLW+
ahm7zuMyaclAgd2jbtoiyuOo+goQ6rQE50mBkNN/U8xxT5MERAlStl7ma9/GsSy8zmrWIIK3kUXK
LdPSQ+zopRfRTwctmPLeajiAXeq8PmKdnAvjRsG/VNmdvvYTn8E1dUY+PeI7HOCMN83iMtaL66oa
PDyz+wgxKRzZVvbyhGdTOd2lX8ypxGwW9svWwIySJtR/mmjPZXBh+tmqLh2aFRjZLEgfx5jSimTt
TDadOkZ7zBQcT0laA+kEWqsFwUOHQ46Mg0ubw8T0QBHBmccZIEe39bSqZWDfx4tKrR+CgsjsnFj7
adJu2mBcUfLdA5ul0DePr4O8P0SWsUzsqFsIMUc0h0zpogTCsK0TP/TU0T2zl7FXTmW8FqnWbDW8
mkBIiktLy9tNaODHMpI7TOT3WVxxkK1OSlgStXMTHcIOz1YnjekSyu4H21lKHHOnGk8qxoelzWa3
H9KbMbF2tKKg98g8ZugQrJiamE4cVQ/3ZUn20XBncPfD8JCzHi5jvX0Y/eFeM5tbs2HbCV5/k4fu
KW4sT4mJA1st5R+kAOkxGrzOTlD0Eg0iNdK10XY3SAfknmKNGfgU7ILGDLZVW113Yn4iTfpcWagI
Y0QhpRtHFR2CKBOm2t31ER4ALYGqXIjwQlGKC9V2X3JsjHCiKt3TC+2GDAfir3lbNupGMYrzgLyB
Hdy4kSPGpROq8DtG5RJE1REpX/Fog16PUUq23Gaeq00vWTCPWyoWt11fm7D8HNfLFSxWnDWKddvm
T3GOL3GSpOd0nJ29q05ULmkE0tS5PkQiWWfMx9e+Dp8D7rhYCAWxtplOmmaSHUWfLurqEtPiHTnJ
8AJoS7oS2viaRO41ZhN7IYzSJ3w3Uik0T9+HHo9h38Ox9QPd9EgLYKtsJKjXBl7pp90NPEpuHU6s
FAkqmATKaGJ2X1ieWYTbJBhfRNjmq1bk+WoULsax6qgp5mtCwhc8CWUDtazRsejTgYP3vaZfJyii
7QT7KX8r3gmrnS2reEo6edSach5nVGjo6jCUjrq5C+gqWMyyzEfT46MG0JcG+A2K6R4WOkFJf5+l
8S5s/z97Z7LcNpK17StCRWJGbkmCoyhqtuQNQpIlzPOcV/8/UP2utnv4Impfi47qsC2LoonMc96x
vg+i+rNb6oEot7qa6QtytOqhWgqEzJndSWBaJO6ac69ZioYoEPDdpXoooYOoWMqI3JFaooz0EXsp
KhoJN2ZPHp/kUmLUl9QdDEuxEXWNL9NSdTTReZT2vVjC/0uCbwzojjn6Zowf41KURNVp7BezdYqc
/GWaeUd1iQt07Axilsunr5o/syV7x8K1ENIoNKcuJksTq2lbvkvD+q4a8TnofBjQET5UUKTIWXVz
Y2cdRdsICLZ17t4MVJ5R9qczwY8aiefDNY7qO35UAhiii6JWcWtbS0jmoBkrRQ2Yy+W+iTxx6MsU
m3fgTQdrtO+NKniOXJJ1myz+yEd8qIE1IrlEtr9v0+HRLEjBxbmm0Cw3A3bdf6akrylp6bD+31PS
ffTadgCl/74hLF/1c04ivhCMn+Q0gzRCcmEYhv4CmEjNcgB28CaAnS8FLH+lkXzVtrAeUNltfS0C
f4nqiC9ECo8M7mt+4sv/lqjO/gJ+fwOYwGz5W9C92oxzjF+/z0ksDQLVKA4PQWYVu3TfrnRrfAJk
pxm11i5VhBWsVfGZUilk2TNrBNOE7ym93RCj/lH28RkE7YHJH1JRr7lETGy/LaIrUub3XtZvnS7w
c260ceS/cMqrUeOgN/WX1qZWLKZeCXU3MXD1a+QmZ5jDD4zg/ihNn1QKqES9OgOkvDsWp+gsUd61
JW7dOO/3SdXsGylPLQEipWFvFbQx1eMRsO0Aw1o+uuNwPRpRjy7KineRMl6zRmwNIZ4j6NCtGyDP
r+p83jV6FhJS5NEF7LRHe+o4yBitOkPbSxMnc5TcBwNmYRQypNpW023BDr5q6cFDlyvQ+VjixCpo
rJU3qo1WEPGo5e5FmtkPlq1qNxukCsZhynA1Bw+MD59ZRSSUKHjsizY5p+Smb+KQIgYEhhlFtq69
dqdyRtPt0Uk4HyO7KzYhvj/UdNoxh3wFTruNGhR3hSeP+qAhS7C7M1krD3XUY4mfbuMp1gggBsOa
83EnlIeln8QpYPpbMJx8ZXnyJUn0O4ZGDTF8CdiQmTnyQfNB5fELfdGbMSM+I/aIBTdjZFeogJJa
fC76vn2iJroD4n72o9ahSCYw0VtG36KE1x/ONDYoUIm1A3/bO6RJVYVp+czXH2WSHjQk7SM+AOyZ
YCmdTjFBzPcRU0s5MhncZQE2Oed3U4OFvaR7hqMVOjekxaYuSK3oZkLex4Svy0w6KvU8tXZ52V9o
Nvhm6wH/7m3PhTdxb+TVCwWLV4SxXTUxnLwW6iCCDlHillGgV6CignnRBHrpCIE3y2tGFfQttov3
m60zbONr0mNeAFhjNNCMMwjqNpNVoP/jhY4Ds4qeDftaFzeG0RJpMeb7VA9OTdgfYHofe23YlW1B
WkCJnJGoBiyjODXagSZMZ0QTlEUCQGp4VnVMcqPBiDTtyKlhRi4wGBROCZPKTzW7N2U9govK4d5L
s22Hrkldd8M50OLtLOQhnIqLbhc3xhDsafq4aL0jN8Oihl1ENT3MXF9GamOoBiUeRDQf0DigaCwK
VqxHvOX8pUVuE3PuGPl6XPRZuRg+qTGihj43Xd+olkeVWKsp4X4iacRNpp5WsDpZL90cO72wD5GO
DkGhC2tWBpPvyivktNPYuHx7MsljIN2BlmTP3DZsJOEUdceSgMltPlg/ehgkglHSH6U5PNeqfyfn
M/HLFpleaI43FC0RDRaTsTl3TudzHA0Uo/UF8gQUA92Js6feJF6FSGmqa0L5aIezC8RAW7OvHPtx
+Cp0iljI0OdQxhGOdUEGnztR/uT1SxGUV7CMsH+RdLi3PAo7Vo1J1sE1Urm5v/+zZGqUjWae+qkv
T6NdZNFzoyxjuKRdtS9DctSqBC6ntFJrG8foSyjTe9Wb8K4N6Aun1ORoWUW/bbRm2nmac7IBCDfs
sWQrZc57XZYtmhMHm1piPae4ftEdsyfoJHIezZIPc1qQgMIfp7LRLr9XgfUaJY2x6byEuVUxP1EN
TBxeKVZWAeovxFL11DXTmrSS88z4M8Uy2aaVdraK5lYL+lPuld+HePxUmrkeJ2bqVqfhIaxA/ltz
OkbzwSbFGeC/eo2RFDmURJHgY1Pp5+hUBXTjvTCS66BFz5PMRA0Zn0oX/C2h/ZkO+VMhWH7U0Zin
ZGPZDVXizV06cfSIiLIPmjyzUxa5Z5FmYiOncrE+HSLTbABEJ2dNNwiwj5FfO26qNiRqhb6gWNbg
xtyM6HI38dSflaCIwsY/wrtQkQGObKMtsSoAKnO2W9XGlbGLUoi9qQi0hy7dKDv8ZjSAtZ6VBJtI
g+/wUjnyzfHByFTuTSXpdJrIuDKJemRNncpLPlXkRJXjVeV1xsrzUGSGunsh2+WMvytfT1VwkcjC
KXvah3336shx9qnaup8zrfZVvrQ+Si4QOyFwqMeI3o/FtzIrj4nG/uP26rmnlBptHMaNtFPlCuOk
tm7K7qOV8pEDeiuq7CrNowWOMPdmUj7WA6WIsTuth1Ac6tG8GbzqTtrlW8xFx14rri0AaoI3g/VQ
WMEuUHqztkWDHnngSujoFDFs7MlRmh6kPXvkfRVr9ux619rxuCZP65LG/Q2TyLYwuqch1/fkCYG8
9wYfwN6a/FTkA5pCr95ISkF2WsjvuqjZNw6RgAi19J1j4KEjslcSVZNdwGCSled2R/bjBk25PLrt
9JihnfTnkkuQI4uSWhXutFFHUSadNTAfjVw8aYToGjeOjoxPa6tFBiYgugxqxAbSjlezWQdol82D
ZcU3FL88aZQobrXCK1Ycchxw9rhXucEjQTaR0QwKvZCZb5xyei/K8BtCjEtbuO/KMt8nR2zRnz+X
aUguYeWAB8SHIK+eRentYc7uR884mQm7Ic0la5FFRLOMr0tcW+8SXJuqY9jHtwpYYSU7cV9YyyFO
qThnfbT+Z+z+E5xkSv7fY/f1a/Vfhu6FOv1r6Cb+GwUSwiCiDCxSE34Zug2qwCCPQBjFEqiB1uKn
jcX7Axifwx33C/aSLy74Jzjp/aHbVBqSq7+QxcL9W12JpuCl/Q7ML14ZWF3IY/BOEil/H7qbus0t
m5KAS1W1ROkgHVs1EnaosudHPal3wcKjjXq9Car+TfQBxrqJrNrJOrV2kIGWaI9yqDfCns+2IuDG
Ju7LCEizE2F8cWghngOPgT7U18iuDb8mSiqd5Hk07asyL3deKPd9YiAUxRvqUbu4bsIiIWdsvHfs
st9iM/vQnIImQUlSx2CFZ9ehjkGjo2/l1bY/Gyy8+Ah3OY+GsAlurgzvya3MGwSdFxuSetU3xUAI
0pBRkDrvgonBd7blbZaE98RqrwsbuGW28cSGWSkgHKyPsQyTs1J99Vp0fJ/ZHnZKawiWpiEcnnPP
4iC2XNNI+bMxQuQei44EsOrYizBdZpMCw6srN2lUr+PMJuw7e+NJ3HQzL70a2l1fN6T8lLTSTIrl
3xUUU43pHn+vP4WdXNdttGmsTD9Qt3UyRRYfdbrAAzw8FL+Iah2kOEVSKork6NzXeuwQaNp0axxB
/BSysS5e5hyKEUihVMxTdmtnB7a/a4c0V7MounXbBd/b0HtINBKpYs3cW3PwgfqMM4op15NOvmmx
6hAXgQFWs6x9GQUtrGEuHvC4kLM12Qe0udPGCqs7WOg9OYHuOrKJfQtVW6/LuA3wzw+CiYG2siqR
2xiZp6+iePbrACzHDtP3Rkd4O9Q684imjDtZ6x4UTUrQK92ztMJHGw1KfjuMQqbIeIycQMGgODi9
Zu8hXMb1qHnpofLszeRaUDmWRZeY4Sa7rrSzet+0YRnce6OnHXUn+hFqJctikMqjqiKMnllzaOrw
ARsOqFxn7C2t6tboevw26m1/8BByDkV5Krzm3Lb5ZzlxT1hqRK4wPFctsn9A0KfeqCmJhxNYD0H1
jEdU+G6rrvpiuspzYa0bL7lVnUeje8kSO9pnQEAeCe2pG3WxtihDSwzoYCe0Li5seu8RDhgDB5PY
WDIAtDuQ+qvMIUFTyO674mZneHyUE7tWjvk3NGqQUYqE14lex36TlO02jgq6gtJzFGrrKQsjX0h5
LjK57xBerUdX+xEH8SMl1PU61MKICmLxw4yrpyH1Nho+2lVDpunr0Ni+pmsvg8U9N3be2ZwAkHSW
qVsntb4TLHJqdfeHq9oTkuprpYPGxcpi4LEvU1ka56LJd5nAt1C5zsmcmjVlRoKFL7pjRmAjiufv
hvuQar41e6cqjrdyoAUkiGLS2WldiQcM2l2a3RIpqgGYNi+V1t0ltNSBcqqbyCay0jE7xiKK6GN2
bc3ZqyVflNhkggYbsrGAC1dZJM+ulAQNphfowHVv8a9ukBw2uFO4S3P1XTpDt+3yZu2AJ9hw25mW
hOtuqK/6UR1kFb8RKkkxk65jFx4lspXkvsvsN8m+u+knWlKL2n0KNfrX9TzgIS4jZAyEyec1Z+FK
qmzatYUx53+mMf2jpDIQWv4fN+7H8Prjv925fNVfd+6SoIsqSpDVYJKEBJr1F9Clg1kJioY5Czzg
Jq7Dn3eu/MMmvAGSGoaaBswlmOHnnSv5++wv4RPQmP73zKOm+btw1KZfk3RS8n2Rp+Jg5VX8fuXS
aFWZdhDPl7i4MWeXqyPAxTTRozApY1yJmYYuaRRXnsruvNl6m6tMW7sQOwR0M2XSno7Nu5PHNpUX
UwAZT5rzRn3vOevlk1L1ozkWn2TTbWvNqVYxmVNZRamD1zrGGhh2J4z8iig8QviCQa5ShWtAMC1n
yGoZhNMnB3XT1kRxDJBSY6sMaH4z7Oc042M+qzd6hDFMspuMdf+Yxt1NI63rGP3+jmyY+zydKHWc
wmswqmM5DtVq1tqT7mE/mUgiz6eSn1mxHZur2usPvRdtUYoHJHUW2yLSvvUVVgvudJKUrpHzbpVF
dSMZBYGPcIXAtrHfQLVsa29ZiYhRoG/lB+TWpU11h6rher5XQHrxEJBbXrVrVU/cf4kZc3Fb6AwK
LaFH0X7JFf13zhi4SG5EdnTLWG7qESBRm4KlwJg9bFw8o0uB38xkMkq1MnU4DOI52eDsJ/gFIt1D
GBwMDz2X9qq3S2jMyQGRetTHEck8cQ41/YZ1JyidTrqhwdUaJlw3UZhZm6DEzcnidIVvyk/beSey
aa/GwfF7sktXSRjuJmENa1cF2PQJuLRclAwk335UiX3ORCtXZJl9VxbTGslsGDeC/rEriu8x0Z+B
TQhwxupmUajR97Seugn2mmJPdYDmR2lls5UNZynof08xKUaR+DZbzjGvcI3m9vxa63b9aOVEduYW
N/ywGqvxgIpiNyVJABcaAB/GwZ4gMIoSa/M001S9khqJl7NGyYzKvSdtIArWqbXtKA0CpAdYZbgo
LxgPSgJBirJykIAVBHtolDLW1S6OI3clXLR8RgBUQnyiRjxS0/RPCodVZhufpcl7xgH/LDwszUH6
SBLnS5g3N1MEBzF1Hlylem6bZa2HVMIY6a4znIHF1B3znjZUI1HPA6gdEM1rN8e+axsnuLuNHlcv
4L/dJjCxPKYCE1PWZA9cF48RguVV1VstLy09EQbtVwomvXNfarRyq6Z3zg0KQxVZO2EG33Syfndi
JqO477/bXnhHMcPW1YsL+YeXqRKSZ0wZkMgw3LVTXKl0uDbMcJsWP9IF0sOp4bdjsCvjUaxkZsFG
2vNNTIS9JwJ+ha5Nvnf7rPp2WqM6fM2DoGCXTru1aC363kIDGm5+cBRDw1RmwKWN+0ByzIkszxfl
RedMTremoe0YzQoKVOWPYIGNJYCz49a0zuV8AIMl/nXyg8T4sBOQi3jQH/gYP7sdyhk9KK+72Llt
pflDqrnxE228KQN0f3mrW2v4PypRg8JeZU4EyNg1Ok0RU3Yzp/IuJQ9ksRhRnTjQxpbPOhkujnyb
gu41zeqbQG8g7V072LSjgD6fa8lYY58qr7VulOntqFeI0CEOdXJfFfp7MJugd6l6VGV5ZarwTcf9
1Wf9vM8DqfldalxHqDxXbRW1JOZizSMJ5KOsXOX3ZGWQSlItqco1FzuQ1cqRLvCrTUVMYDVXrM7g
7vox7vVDFHV3DQ5CMmjNg6Os66nXTmXOTxmn9abqQJFspVlUeYabJMp7nLXW5p8l+2vJtv7PJfu+
zF7/mwZo+aq/rnz9D/RrOuJoEhBtZDu/XPnGHxbklumSWmhCK/FbP69874/ljwJfmSjc8SKxgf+8
8r0/GAGgMFEgG2zIxE/8jVQn3Vt8E79xW6zZtFkyVxikT5Bc8fudb3l50gBWzRevC5sbN4FQiPXK
fSahxzjOY0rhpg6x7XWDOI80IK0GNUQbuCP15Mqxu49Eme2UwujuyDLwXa1r/AKZGmoLcZ0tU+5g
6sGVbcvm1pw6vn7wKBvs2T3oxa2mvQYzMxmqXrVdRKpKZabvcSCKXVIwQKMVQXBStdP3PIrCY1kv
eQOUmW6MQsDue14FazU/SQNr+FJZFeTusYdopDVLG08F6hK/oXSaA1gG7BzikmKVh51Atisd0qmi
2N6bjkGMvqSgZCVIwwe4TBKMiPpo3XZFvqmVCkHxq5doCgMcmsM6Tqtjwv6KubFID4aSFKdYrnET
6uGzSGceSrPZWlVxa5e18FnBtV3nhOqowt48cp+5fmZmJ51+kQNtmXJDHaW1S7PC8gdmmr2jcyEB
jKfHOkduE5TDrWrYvKqMdF82TLXSbBvfqFeCcsrrxOTKGmbeHY2Wv7t4pEcnj3X90rbESc3uWB3q
qD32RvK9rtyJoHEC/8F+El8HGIjCmuJhDq3IB09sNtmCIARACYmlMSCBLUyADPkX2rDgDjhkkvME
FKGlYBLEeZase+AUaB2JrwjvHdO9zV30Uek07QygDSMZO4lHHryjAfhgqb4pAUJE2HIBAo1UQCQI
k+mFBjQJFvSEInPyzRdEhb4YVDhFfmoBW+wFdWmBX4aIxb0FNl5uQ2vFNntxAWsKQJsB8CYBxKkA
c6IF1VELvuMEzs0cJFsF8JOrmAoIoCBJMgg7PeAQPEcFWOSZNs5m4CMn6PkdAKXcaN7MBWGSQE2M
Xjvuu0cyjbA5BRWysgWXQuHGAlWnNooiRv7+3fJUs9ZN4jy2QTldyZFeAt/N4/RKd2qw834Gz0am
bW5cvZmuQhy8h38O4z8RT9al/71/XZrXIvzg4P1yt/wiRearfh7GOgLKRVvJmepZX7WGf+1fOvDl
EoPKquVhbXJ+wTzNPwjncdAh05dCsI79y2Fs/mF6jsP/+GttoFLjbx3GiyD0t8MY7BT0lFghQvsI
mfW4EX4VZNYOrT+jKwL8BDr0kcpSiUJYBidtqsWpcFu4Kk3M/XcriY5xML94oa7WlZu8mwM9yATw
jS5RZSSA+LUpEnLF6sqfkhjcAAln+UQAHp3R9L604RLSAlwJWWgwQZvNq0Up9kfXi6DZGoXNdtAC
yhQw7gXD6jZC8Vn7XdYacp011rCtm4TiA9R9EjSIo3hhN8FOKjjtxJ6WDpXmU6OulgGLB82OA+Il
DCY6OEOcKmjoNBPsjdIJFAJziJi0IdSdPIZKlQC4ApRzvNVNdRUNcokJvbLK7KCH0WHC8ws1DT9L
CoG9Ltuh3xitFV1VlrMTlXaTMIDdVYF36qqIzSJkJwzxG18VbdmsDW1M/dlJUCdWWrJx6/4yde1F
SydvNRKMsprJOGBgG/0IPatkTuwoW4rNuflMze4+zsQ9oHpu44PuihutTtXZtNCr1dUWGiR6LikO
djvaJdsgJ/6c+DWzjD4B0JK1UWHGN0oPD37P6mbm95pjj9vKY1R3axoNGnAphHFyX1Fyw5E4rQLl
OhtDL6LLEJJAGFckCpqIPrtJg2YcMUmQcYfitlmZsueCMMCyY+2sK3M7ODqigb6yHlupk/xAygHs
nrcF8I5XbN3rqVcN5h63erGDHmBb1wCL6XQM23U7E/b0y6N48+c88avh+T/cmzxwyHAcAFrQD4iF
3z/YNC6PIpVtcm2IqNqa2Wi80tHsrUei1/5/nPo/+NPief3f599N9vr+0fyX84+v+nn+EV0mcGvT
8fcVT7YMe7/gT3iTAZ8cbBpf7M1fwyixpGSqLwp2PGH44vmqfw2jrg7rIxaLJvY/Ts2/MYziXPi3
8w8Ayl4i6Rcjn7HEbP/+MRnmEVTXcsdLRwfZ2urSb+Uw37nlMPiZDC+5XifvPGLFKp7NBxSKIBmm
BpLujp9ahGbJIZdKmRoJHl7tEydI0IoLqRw3wVsTQgFMmUuYZ1/cWTILQYXKYDcOwdnLEYciJ3rr
zfjeGdS3CLSd8BJUkUZlracyQq7iVkdzufFzd5FbymKrMuOe77UZO71fNWgRUXTOOo0mREwFyjl3
qXzE1w4Mm4Y/ktY7W+Q1CGu6RGG7L102dbbhWyMSYmt5JoJma7iZDMJ88BQ4K9dAhURtw7K0rsDO
1mbdc6BbhGuMlb7XabHayo7qQIAuz++xbvlmGuwcJNar0sw5NCvroZEUVM1y05um36PnXRHRGK/j
fD4onaK6rog8YpXUky1/EM+5aYxpYRSO7tA990JRopvQl2SZMemWM2CbM/QkxEzzxyDKw6C7W9fU
aF4S0VOoc8jTs0hSEvEhRF6AeC0MgkublHu9cCBh2TyVmv3W93TAlynZKKgVTBdGST/0QXqLEgYh
ke3cebxDQQyjrZXNdsyy68aSaCrEWzop9BDUFUP760tc2fiYG9ZLQjgAZyszOAT+tup1wuwn90Q8
44OWkUHjKPEUD0m2GovkpMzgsZqaa9K1TmGTylWbZR+WFn2fBu2hMolfiqa7Tjpb4WjPvZa8o/4G
8rPnYd1UhF6qJSDIaOtPd57vRa/F2HjkmX+mqzFxCf7AemB9EmzkBwY/ztirbeVSe2tY8X1JAp6T
MLSL0N2pxLVXTVF+NwvnxSQxcl3M06vVIyPhQw6FEmI3HbrySh+yHwGfSNlAxVsGxTuZw4Yz70un
+zFo1hIEaT7YMDQhRz9+jfpGF2OHxnuYUHUAHDTanGy0qPcQAHiLWyF9SjreJAXiuLLBkFZWbtx1
TuXLKqeLJ2+kT2lKdQzoHrk2+vJpal+y+mDyzL3kjPHl4jONQm4U1VlIsOfodh4beQhSVEglYoUd
VkVcg/1o4bnVE5wDEViEVn1C3LELMFF34CRRkMx+l6e1ehy+AEobqSTQYRik1n0RmMB9hLk8xVZS
+hYAp5BsPgGQ51RYYJ8LCMqiRtK/3OFKAB/VPW/TjU12JA7F9XPaZ7DMmi/lYCfUafC4ZREf6WLs
qJKE9YltipVQSG5CT073XgUcWxLeNUXqx3L3UpDmbWIAXQGw26c5Y8FEwmDheNEGhT1RJ+71hCiJ
7EEqXrxvMTBx5NnBCjcZas7uEAMkN0QXZQDLWdxvqwVMVEDO7A0MXoDQVlSE1xmwdGo597y7+q4G
sG4TQEMA7EVk05ho6MJgfGsd66kszedcuLhhAb8TRIirmt10iVJ7sml4hlGFRiIx6npc0PNiwdHT
KLsSAOv8qoEdIKFFubPhq0DfjZrodTP9nIHlq8R9qur4zGD31rRUzwhkmQ5AvtMvMqk6MlcmGDRy
GJg7EehvYkruPIgA/vFgBBJ29C51H/NhGHlCzI7eSi/yycvZOAvwBN+Adw0squx4mGYePReUqo2M
QxsCW8XgV1hdwHD1owDXwsl7RdEf5TcL5JWNTkS3Zi4RV+bsvy4+XSvXlR+AlmmR6ralrJNt1yN6
rSpxXSzg2rDAbAZ4mwqDV23OryJwOG0B5PRpftcWiG7GEr1uRuLxWgtyeUYY74b1+0gcyEpbqGwQ
tMfYc044Qd5jBRlCPVj+ANe61wrjkSa0fB1U/GtkbrAFY0afGDBeOePBzatgEzg9FaTcDlWH0n2E
fswzPmsEmzG2ZSIkl7oR+gxol4WFzzrSUjPVtfK7kRPBe/5nI/zaCBel9v81EfX5a/ufE9HyVb9O
RPRZmtZXfIHj/c7I4T9FfSAIUEfh/S94Dn25xW/pMGS02/y5R/6ciCDrcPjDoRnUlH1Fvf6dichd
BuPf4DmAIxIPeBXsmOS4/9vgbEVhgaN01i82vop0j0/bgJ6q03MSZGtLtbdepL6xbfA8d9luDOU3
LY7aVY5g1YbYl0EG0cYR07AN+WbZ3DpDSRGtOPXkVzv5dDCndqP6vZ1oL2UYcuhzioUXPZHhGa2E
t3Zs5gdXJwUpBXxhdVM/IJ9QnPfATrQFvmCGJVHc1LqtNXYvqsz3I6zBxrSHG2gL069p1uX3xUkN
+DvoJz6j5nd4kLOnQutnmi3FR1y1n6Myfnga4W9ln0ZrRpH73Js4wiZinWftGxpStiK1yFfRfA5K
XhfOPJ80K6WSnecIwaQCl+FCYPrl/7Sf7DUWf5BC6EHfUP1l4LqK8ckHlrHJo6YmAst8F+kzJEbU
OmrVEhphk1vvLM0+gds1G47Q2VrbKc1orMsmpH6Fp5YIQfTUr3psBYMfTwRJ0GQcYY8p0j2GyhpG
TetXnTVVPss0tKmQS2SWl20hX9KDaQwNmFTckGEQjt0tWalIbFXW3A6lmWBHpEiGc4W3ipCFVduw
lEZ1QkFXgRstrxHdqYaVvScYwGosb4Uglnjs5YqdJLnvgQxs4hHH+RZTtUVFXyI2yTiso9Ipj5Ls
sRX3a3wObJFsRtm3IICDu5saVnCCw9Bc1mjxMW2ZwU5P+09Dlt6ujup+XadBuNcd7W3o+OejU7b2
MVXhcazZHmMidveA3R9SK20S2cfRJxAUikxah0z07bq0k+zGM1Eh6W2BH1mD4pLE7u9osKdObWjt
Hb7TDywQcod9D3t0o2U3rirDI+8c10cwFq8e0mgk07HYB2JxFggcSwVAIARolzYb3UX6nmPBfqtm
iqBKEthXrY0OovO05jQiTD2FY9/sZET8MEWG5q7CeYmZILJWQWt/YmCz6OGMcABY5o69mlguoXIC
eGXFHOV51psAyIPOxL495hjNIPgcYjCsAdHuqGu8ysJBko5TkmcuPDYoWPajSovOj+j7E/5kehNy
EsQcnxmW0L2HK/22XETZuNLaUxcoQZgrE0UjpodM00PydDN7VZgyJXu4fiKjP1wLFSx49ViiB5pI
921f0JR+y0qE+oEnQS5y+LEhJw0iES4urTl50ovyJqnb+PssCag0ojAiVtPDZVgRPqf627ggm9R2
sKBTnlsfZO98RNnwHTBoO4YerQJS+xyTbjFNxi+kjx/JLH6enNHd4e/CX5A3yyEiz7wVhz6VnyXP
qbagCl3uPQjPvqn16FjptrsqmvLaFda74chvQ6ZNG0DQm0413sFrmn2p2vtWycc6cgJfdMwzdd+Q
WTLHK6RB8840IK+pCIf3pqVuBKtovOguFLhm3ZCof6wZ9clGTw4XTB1TYezjMjqmbnDxzPGsTWa9
OG88nhQ8coRvMNLEGU2L5M2+JR4MtZN2yT40BzIhrd4k809aR4dWKxwv6M4tO3+Trc2ZJfqCtL36
phy1e3j1xWKXxseQQFGYTaw/6Tx6vCQmvlmjvZLh0gHIH8PbnKwz2GZCVvvl4VEiYO1avmlXIRhP
gljuBPbkuyxsqo1nEMrKCdPv2gT3iGZPcldZ+uyrhMUNO3XGCePOu6mfEz9oY5OwytzypUrwTDb2
J8Ca2qSWOuAlvMAcn3IzuaLcJ/fNURg7c8Q4aYoq2KbUAm8j1xa7DKXwxiJKZG84k71JoOPjKFNE
Q8bGzjCX8oiEVxvlPLXGiKopK+hcBnJcwug5pQR9Ebux4Ce1m8FeitbDVY8HZacl4OZJzlJbh3RL
FDlSO46pfvXPqPM16iypRv971Hn4iF7z1/8cdZav+mvUwWUHQm3DNhLixDb0C/izuOzgJ5fGPuOL
U/wJ/iyjjm0Q+4T5DsDTXqagf406TOAIhgCrFyKSOvC/MerQOvYfow6olL58LxprnC9p8a/gN2gN
glJexmVAMtRuEtN8JI1tnxSFBm8e+npngfwusvxg6A/TCNZS5obj64M8djbNmQQc69swmR88rax3
fcK6UOgxGiEn95O+eg+NiX4HUjBQ0hAG3msbU+ufWuJr7uacmkKncYIrChidQzK5G6c2iMN3h+ZM
ugPdH6ERbSdXf+sYLQQ7yh417TUZrEtA+XIF47O4m/XpFm2/c1tXOQavdPQ2IitAhzy0BVR8E67Z
Y/ybZSVXOa/Km9JtEvYaZRLoiJLlSiFO4YdeEAqyaZctuisoPnaWSSCsSHbqTKz6aVDol8BAGDz1
Bb9GTdze1TN9VfHt1XKgNa7gaFsOObUcd425uA84AdlVLgkn4sTJ2DX5YhEwXrvl0HSW47PsBhuv
AK2vZAamTnkaNJRXjQPOFuf1vFMRoHLDiez1yLKar0Pa0x4rTm3J6Y0Nki6gWt2QnTxvTE54s3bf
S058NDtLGHV0pEvtxu6Ch3DgchjHZjNwWzTcGoLbw25Z443lQmEwcHdVVj4nY3Z0uHOm5fKZuYWm
5TrqO1S73E82/VTVcmHpaLG4F7jECoe3hZO1QunILRdDp6zS5eYzuAI9rsJ0uRPH5XbMCnvyYZ9H
P1/uTtW2/4+9M2mKI1vT9F8p673L3I/Pbd29CPeYgCAIZrRxA4F8nmf/9f0cdMmUdJWqSrNa1CKt
NpUXAQGEn/MN7/u8DxaXqWPhpmPSsk5DgAJzGEckFtb3pbyDc3kbT44V+i0XNMhSD1YpFqt4ULt1
saAXtggoAVvaX1XSk6VKdxaxtQCfukf2lq/MdYxNoGuvlXR0RdLbVQRiFUi3V1jYw8aSDrClhvWd
8nbd9tA7YfZLq1gsXWOVoe/JY3a3IXt7T3dKHgRMZjNmMyNtX3TpPnMDsC9a0gI6syirC+wZ1DK5
x7NfYbTGwUY7y5EN2N/GGIqDiGeEuGiCeqT3LQA6oUs33IgtjnB7Fyv1dNQxzAmMcxEGOit19gqG
ul7s89wPxoPL12yN7qaS3jsLE16aWw+2mx9xRzJ305PZDzDspZrmqdLAV3SPtnT0lSB0gBhUDJxs
t/FKF7FalxSbMq0OQnDrKfkdXPZ9WocXXc50SsM8GIv5SmAmZFhG0rX0FzYTsdeZWM4Awj9FeBFN
CzOkpY72PqntC+HmlzG+xUwaGB1pZSzTdGHNjL0xjDA64naM9z3eR4EHUsMLmUlTpCPtkRY+SZrA
h55QYgKbjC0JFK4/SVMlvG3TJ66T1ZW0XCp9tw2NHN2StUweM4fr0QoeFmnUrCsMwwvezUWaOHHB
ELRLanaFxzNYmrdamj7FQqNWu4JMDQyhIIvTlcuv1Rtwiwpco93INatLIyliZMNPB6I0UlymJm5T
A9dpHKFQm6QRNcORSpn6tOBQDfCHeo00rdIdKqsUHyt0mSfY8tIvWJyEtLpqeF4tt4eOjgm2LpyA
AedwavDHBvhkh6g9qO/G2co5i6WVNrDzU4a3drJj5SzCbRtL263aTWcWPlwI5lhPJ/h38C4zzypY
uGXSuLuo0WGRVl4E0pMPCP9ruAS3dYVWYNYENby0AE9R8tpU5jEsMQer0iYs+2OvkNbhEdLyrsNN
bEu/01Ivp1kajZmkYcBww5tJj9e99CLjSXbdfECC0Zyx1WUAr0WhV0sLsz5ahJpbpbkJ8vmR1nPT
hepzDZYOEQIWaLSVl1af3wm80Ytd8qkiXhuDsWlwTw+lcx7jpk6Y1OxguabeuFjxivXIdra1L4wY
D2bImT3hyrZwZ9da84al9tDh2l5wd9rSxt3Ovcfi46lExh+kWBUnHN9Bqu5sHOBqSBc98CZQOY+k
RdyOUZOa0jY+zfZthY98AaaQdhyUsW6VDLrsHQ83JDzc55qOVXZq3WMDr3orcKhnvG9XTsaU2JbO
qkFAvEOH05iM3SyaK+SA4TN3Z7Mu46in65vLtarr1tFxFARtaBC3Tds8xql2Y9LVeIhe7jS7e6KW
C+DAOBOiHTzVmV1pnCAa3nLnRYe3sG3cZsPre2mSusR7Xb62wZIxKSTuhEZ6uST6wMS4U19x5x1G
g4+NVXTewa5eoUb19Eop127evwZSC6La9SsEwmOSkEQVKEHKqD84aJXVo9KckemW7uDDsqOLS3r2
wh0nWOCYl5FNSHVVxdjM43JT9uFuRvaKDeKFpREdnFLczCWkjVhJPrPe+SJNOnqU51sCp7bUERJ/
NNxoZqV5aGrtMxLW98jpuIoLg7wpSiOsQ8uMPVhrj+5i+CFZ96malp6Tj0foLdmqVcILlcElyuHq
q6MUmDMN92kkVX2t1LnJV7Ke08gkvztUHtW6D04kux04zSGBHYwh2kaxYbJV6XEIqiyU6ssyg0lp
AfhQpRQ3rodlrWpuHV38U0d/GxlSwP51HX0dD28A9l9/oSORle9HKa0Znwzgt6BPVYPZHNvujzUq
ChOUfoLJICIOPHLsSj80fcYnlXqZ2htLmyFlHn9W0vonA6yXA+sWBcrfraTfc4i/nxlSi1uMDOHm
WRbztJ/jsCNRDGT+6PCwyhrJ14WSKXPE02eobY6F2EjSo9sLPSU6JGB1CQR+2WiwlWwG/OA5HWYO
x76sFcqkSdmbZqEfegY2/ija4hzxan7Drm489pNRXRRxV37pwm48E/mY3hjaSChdmZBc1E32WyBi
HFqGE2y0pOEgtuuu/MzCE62xMjBxb8ZqxSp2mwpt9BcKshdi+LSvih4v16K14t5zIYOuilnLuA1c
9ApW7U8iEawAE5KEIsCZed4Ht4KZ3XVfKVl0oyZmGrbAfbR62WOoQqNO/evojBrsIhR8w14deqTI
yIGayKdRL+dn01a58hrNQdoMdRUN/GIN6qVlVck6N+M6uVOSxZSq+NS2AWki5SIXQQeCYw6k/gLJ
wVY75N16YZrr2wvq62o+c7qq9nH8R746NK55PkidTfAuucml+gbAIUIcpZainDkudH07a22yn4l0
cf2StgSAyGDvhNT2lIh8uiRjjGIF+nIwk7rbO7UTD9dLgjdrxv+76F7EG3M85G42F8o3Ccc/sgr9
9/ya5+I/Vm/ybfzv3bX8zI8jAWkFzxvrANy08snntPg4E8DbWPAGaJIxtL3jjv84E0iFA2oj1D+W
BX8019YniDgSfGnBPIcU+PdQf/a/NdeuMDWVM0HqylhPyI9/j/rrZ9PER6eAZ6VxyFjfS0pBkVkE
OMiUq9Sed0pL7hUK8ZPKOgJqHPjLkXCscSYlC5cIzGTgY2iQEo9hAuJTmapVy3ytmKAtzor7kuCt
Sq0PM08D0iXngi64WRslItaKZp7Qrlymd1H8XvMQ155JsBc6JW+wSfoKdPXkqpSgo0PyS5M0D+pk
f53AgWySsbrJRXJna3INm7Jz7BVk8rlbPxp91fsIlv08BRKWhBWctFLZkDzbI2lqtmOqEGQBWWLV
9vlZBC4DmERQUj+SSKP4wWR8rrJBmU/MyJ1hk03aSA1dSj4svGi1wscDxMZ3IXGgCnM3lYTMDhI3
KyR4tp719SBRtKlk0ko4rUutlktcba8mrx38WkbVLjlxjrnSu8tsuBNtabPHBnjL+J1dIwxcW8Jw
Nai4icTjTi7YZ9JbiG4tB9SobXtWq8VLLeBY+OA0AAGgR9CYuuWGONVpmLKcsEG9zOmtGuHYsdmq
tBMbyUk1HgujvGeuUCKsm8oLtQBtptjuurCxaIXVvsjKy1Zrtzl61cy1zyYzeORqY1ue6vO+tJJN
XxjqXmMDTkpSOxPZM5HRZtEtqhkHDq/nwQm7+GxAsrEGcDauHC1QZG5dfgTffosgBHNVZQP5JS7J
eA9O6mSGEkhmkm2a92glbXQOi5hPagspRrVatjxSaNFU6k2IRiaQGU1Lox9rQpsUYqVqQpzMxN6T
W7hNh34XyZSngbinzsmPkwvOZRIzMbKDZ+T85bllosTsCQNMHkySoyjstyNJUjAJUa2QLTWRMVWB
wGzInGrInoo7FDYyjIoDt/IsGVBF/7adhpHIKg023USKlSXjrPiTJ3BjkreEofTQ8NqUOTTXNCZk
xpKHhY16q5OPJRpWMzIwq+uzA1vp61xGac0yVEtXjJu4H18KpYX9c9v0tMmYX05hlPgVA+CiWs7I
QrxX3WT0E3K7WvK7QPuxBGCZFrfp51xGfCk2c2YZ+qWT/hXJGDBNBoLVJIO5gUZdn3PFWguWuuHI
oOZBiPG8bBW/JFsMmhazAxVGrEwdC6PjqBkPdTNeRKZ2n8l4MlXMm1oGlsWpchmQYJbkxWUvI82Y
Pr0MTCiYKQcXrow9w9F+nmX8M3rTUQajjU2+d0hKG7rinH+5kGek61jbzA4wrUxWI/uFMvo9by1S
ZfYaMMinBB52YSZMz2Q+m9LuCJ97asltG91hjdl7m+jO545yOe+BUJYkveGD8zqS35qwepxlFJzI
yYkcDevCISXO0erM1wgWwvCrP8YkyY1t42UyWq50jJNO1hxjzpOQ4XPzMhxMGUc3kUsXFKwn3Kba
RSTWwXl6SER6EartnV3gv80S9boj405U2SFixp6q/UOaGzeNDMPLScUzcumGbA5QOI906P0+nKm6
EpL0MlGf0/Nf8yY5K2XUXtR0xzbAWC5D+Hooormoffxb2WZoVWSYI+G92rnCzH5Vj8reINFPJdmv
a+p9TtLfOCCMWdKLCcRvly2nbkjRlub1QScjcKp4yzrM/PI2u8Ng8TklydeozX1HumBrYAUgbVDT
o/uB9EGTFELq34ylULAZTOKHBuclJa9Qk8GFCwmGgYBASKJhIaMNWzIOozI9h0XzeSL7EHUdEFCq
Iw0HhJdYJO8O8aYgL5HQzvPYdr7+061861ZQiP91t3LzXps0xXPzGv/KhyT15R/1CS2LpktJgouO
/b2e+KM+oWdh7I++QJXTfFulqvnoWUw+QhHiIsy0oH1IEsjH9F//5NgUFCg20Yba1t8rUDRBffSD
0IEkJOocC/2nkLYnVX78uwLFnUylcnn7XSop5CJT1tIOgeB7S9bXw3up3dVdAwtsVijBMdZRjgdj
3SZ3BMbinX0v2AtZuxcMlQA0gTweTtN7ed9/q/XDCWSWYEw2wDZY1d+6Ap3EBKhR7+0CjUlD79C9
NxIO5CbOHmz7sGkwTsFqW5LbvOQONzDuCS9L1fmGASKIfJEk0aaqMrTjaOR3wPCRm5m9fV9oA2IA
DuvhvsLJiAHfrBgZGAyLM09p68JL9cq50tOhQgdYJ0+KWZk7AmRAEKP9C45M8kNnhdSN0U+LMRn8
L6Akz4mtwHNLAXVWzT32ej0pUnZ+aVvFcM1WJFo3fQrtNLaLYdcrgQm2rnaYgueEpDFnLRduq96a
VrYTmzaQhsy+RkHH7HHp8niXNfbyJRcKHM3QmNvCm1UuQXLhXTPBA2boPWGozqB3W7PhD8I0CqLp
E8GSmsYyH12EkWh9VKxpy+ik6IpwjbH3GPVlcXduyN57PVdNuLXVbjm1zZB8RlHbnly7tQHtWhrK
ezT9t/lYXbp6W2HiVPhtXhVKOKjrsJXm4DAo+3ofCa1nuxuL5CnFnHA7uVgsKY16PEIjZK1sp+pF
Z68UpwqSPRO5ZDrL7dgY36zRCd9ccp63MNYDwkCjkvQ7l0i7VmlZ8SpkQaVO3D5GulY1x1pRXK6o
7p995bcEAMnr+f3J5cdv4a+aKj7xj0PL+qQ6tC3/AgpJ8sFHU8WhhchKhkGZSKP078Cguv4JlIFs
t/7stz4OLYGvktkLDhtWnX+3q8Jx+dOhJbeeWDRxb6IHw5QpP/7doRXz1IPs6vQD0V+IFUyiU0KY
/ZaZnuUxb16wBsNio/QhclcQ1VrMy02P0DpE+XmhAztn+Fd4egfwRK0/J3amaVd4/aEVJQNO5FU7
FO4xLzt4WXqfxfu6m8UtiFLF3Gut2ijsCJTumAd6cJbOFjsokTLjv4lt7NnnHFdZ+8UtQms8NHrV
mCfase1gFdkbfj90VkXMSLc30KtvVTlDcN/HCV09d3sjYw+H7Bzd5DqQhqPFsLF323WkngtpSGrq
OgHrTJL3Oprc2mvqplv36hyfm91sXATBUlHjuIH73LfAIldGHaBDtQ0qUhwf/VUkzGfSvD4Trvkl
sageyYLIPRiEb1WXv2El1VCu57XxOnZEAatEidbhuC8W1dx0INA+j7AgVoNQ49gb016DDDSiNqEe
fdCUmNDudAy+TDG5r61eiH3EvPdCSYWkTjbo0et+YjRU1VtDkmdAnXVE5RSIaRyEPugtUJczYeaP
W/kWLhX2kgH4+/zc6d3SM4PGPtBOL/vUQKgUC5cO0422dlznqwY86UqfnQRnEpYcu0j9ynHfHCNS
ts6w7DKNYpAJ0HYOUGkrbZ4ieIaS3RrToxGRK5GOy7Diut2WmkvkZjd5XdSMlyneWQ+j6OS5mTn5
Dflc60SpxBGwU3qD8Uu/LiyreEtUo4F8GhcPyWAgco7r12IekvN/6q33esv4rcXmpu+6X1ls5Gd9
HFkMewyqCaF/q7JAsvxxZPEhFyami1lQw4Uo3X0fdZa02AhNHmTYwN+DHf6os4iDYJ7LTJTySwo3
/pbFEKTMT0cWlRwiEHooA0gbY01e3/dH1iDAFNaKOx9NqTlWlaxYtwyGU/p9J6jPHTWZ4JYNJgmy
ZlBUh3Hsb9Tc3JpOSp3PLhs9kGpeTAUrUsoogGKwHQwmmV426+1GaB00r3IsdxPgjJMwGCJZRqec
04mRC5WUjy7WE08x1S9FjbRRi5ZTHpdkAY1l5ivVkK300D4uTA28ogTTFVZ26sXluKw0h6aij+Ev
Frk4pbqS7YcccX4emGu1icydYk/YDfWg3aNcLBwGDoXpxVV6TQLM25jWNyVMkypHddBg70DkoUxn
ocuScunc6qj21meGt8C++CqBlh4Y/o9YLhBiTEXGmts9qAa/Gp2uiHCMk5oSeNxXd25SnyO5/awq
CAWrnBe7jGwsneTCMFnMofc+LJXzurh4edB/1p4jBlKwYaTBaKs99sb0fQy5XBF8SSO9XZlOiXW4
xUpfHwpRPSZoL1Y2SHsZTg+13ZxfllhcanHDf0CzjIG2eGqi185VqzvKvEV5N6+qSHqHVJSfdVNC
cmyYppRbAdRNdcetAHrZa+6GtOO3xXHitWkPBLeaiO6b95CNmdVn31bMT5izN85YUbW55WoUxgOh
8IdeQeJbG9V6YNPrt/NbYFtrIeCUiSCUB/vX3g6JR0jNwke2U240tSMqJBNXQTNjbrKwkFRJBZt5
eXZq5Msae0Qs/KXlNQaWFIi++0F090lSnno1p5i3sMLLGIal3pjoDb1IL7a9ZlHghw+4VRAO5C2W
Hvbqg4L91YGuybIfP0achqRdzaQv2FkREw/SYpUIg24d1+49RSFihbDGhmSdB6PT+DPLYL8z42fQ
A5K2VT7bE6zVdiJ5u1WCZRd0pYHnK03XVUhWaC6A2eFHquAdhwaL/fDGDmzeU6UudiLPDx3rbq8v
8BoFBNHjK2EuAdWBQI/xhDuMiAA9WBVTTlp3a13kltix2gE7E7rHqWhbHPns0u1II3ddbVdWxcVo
jqwvCf8+luxnwJ+SMD6mX/qkf0hyHfHreJUYgLO1MH+jFUSkFHIxjc4l4yt1nTjMtYKW1Axi0q70
Sn8lMwEYeRXt9Gx+GRP3chLFDTnQiZebC9afTqUkNsONYybJppIA2C6wntqyPomQvVKSpG/JMtS7
WQTbpWeJKjLF4kYDV+CG0vgUMhMK42wNHPGhGMsH9i6YgAfjuVGTzwX7dv78JUpUglpWccm2qXTu
k0Yh6n44c9xcXauTubYiLEnIiCE0E2mCjZDyQnmiWtnaSXlRNqi9RhuoP2qMx24B6ZCGursbKlYp
be6iSgcRt6pb1ziKtHQUvwZb/PrPtfjtWmRd8JtivizKX4kPJT/sj2tRfGJKYJjYgKVPXg4SPip5
Qb2O7R1itv6xTf24FqGNclE52O819q2m/IIflTwYFFsXfC0JKmXP+reuRW7hH65Fx1SZwsuUAQdu
KXRTGXr2/bWYFlVWpWqiHrnYGYWbkuLAarX/0iSEJhrptFIlQ08JoOklmnsfdERtB5K0xyX70uXZ
jS0ZfGx6fIoIqHzg+XpF3bfg+tgNhF6D6JuHf8AZBNYv1bXPowT9tRL5l9f1vh7AeC7xUe+UPdHv
hxZTvdYAC+wlNnAgTGRlt86ugCi4jIpvY0boRqv0SpiDqYQPZvF4LfTuCZIzV3danOZU0YBUKLeK
RBcGEmKI1GsTBtZ5ljxmYA5HyTtMzOS6lQTEpm4BBZrnuWQjJkuxnSUtUa2MYyT5iSogxQWg4lD0
504bvFbueB4L7kxJXjQmGIxhEaDlgMoYCuVpBNPYSl5jM0PoH0E4Lm1zH4N0DEkuQO6h14jlsrsJ
7GMvq/ASEGSaOodZkiE1foYAVGS8VM8UDe1mCNJ4zSYq9yIBWbIAMRlI1mTj5HdQaY5tP37OJY0y
BUs5OfW2e+dU5giyBlobB4NkHZjHVMC0NIFb9iOUy3lx7xPL3cg7ekRsoUoeZgsYs8ghZA6gMh2Q
maNkZ45ANOMIx+AguZpAQO5rSdpM0+7RBL05yoVwJ2GcQDmFpoc4zsJLNzIivwDcObbEPGqgPNvA
JSkCuKcA8qlK2qdj47NDlVStGdq8FqF9EwbzFnfHhCwxP5tLoZHkpryxbD9frGJjJd0D/9uuKFlK
GIPjEOoQt+w3uisyErILd8pvrYtSSzl8bejNPE8+Zo4IfHb7FW/pLrGbrQXvxev6JtzwDw9aX6+r
klNYTdEFDUp7ow3NljX6kzFrWzdknlI5JgESbAW7ktuvKPJTn0RsBFoygDsSRRHKrOfIZrmO3tRL
l+ZQuVmL3pt7FmfvVoTleWoarJjorVIkSEY6niVRl3hRM182dE+qEZx3CxsBBa7m/KXHL/wQFZ0c
QLk5tDaMCddCmjbCldPkykmt3PoagTstrTbFm05XN6mCMKYXwVcie94Ck5I0Ilu1UJHu2MV031rN
S5f2uGvK8gQxZqtE6UmrANA6AB2Qq/rVxCRMtwcfzgPZfmZ3qemZwQ9XrWvblnF7ya7sJmMdkRwD
As1evGRoaVtx9nXlhOJpfp4s4VNBfsYNCN90vuMPHUEUUvZzrFwUNYqeVNkXlFKEj3thkvkuOVVJ
Pm9SB8/KhEN3Nhac5t2DVjd+ZM6hL/JpM+SO1P8lF3SZ6J+wAmFy3o6uxYoh5w9y38FsmKeebFnw
iSwZYgXNcFrY/py3fhS7jzn3NAV8dDEwZ/UJUnA3U46ECnvKzoXVhKfpSzuCimMVM0+2THJ1fb2a
Dwa+c7QOFaUO7hRE//xtTSSr/a5vmy99MxyTyfHbxLhVYwoNdwZPltoQ9EyMjSm0WBWAW42xZ6Ol
6o3ZB2+1JUuDId93jAK91h52WgiiXamZfOr5VaAuA7bLmB2J6ayQOHiR0R9GuzgnQRevJrJII3Se
Mp1CBDYqC8pVM6tb1+6h0Q0Pqqj2gTFtEHDY6zTJOP+mQllVVnmt92SLxUtzNNQQaW+yw5sk434v
A2u5JVpgVYvuFIj+rKkRyNUmtjJ39pdFbCyrWeuKtsdtNfgkuS2cwvrGNbtztVg2TgEO0Z0JCKnU
lyxoxaoT/Wc9Zg08AgXba3Z4pcmiPAxPyC0viHQcvGVBQ2st45lqESJbsmxKqxC5iRK7ez00e3xK
05WeKaSmoXh1na+4XwifqPyWaIe2cRTiE5gfj0yA5q666mznbor7iKLNBGmZmy7kF5E9ptgH/bAa
viZtfx5NKqLAYp9gLY9clot9E1/3wEdE3Hw1w3nd91p1GU3Tpk6Wu1QTCwIXDOO0I21hnholgOOs
uk+K1TxM9XQ+5hGlY58jnKscr9MAvafU8RMKzjE8N7qOY9yY90HtArAC2snCCrtMeo/1Z0x9jQyY
jbJ0o+dMzjpT470wJZR5zBcf6MKrMei9Pw/IRdtGe3aX5ag1ub6mXAj9UGgbYimSVaDjxmfTxVQ7
PXSxzXE5T+AcyvihTMQVFoFrcndGxM1Yx6P2i8l6oVOh6ivzsbWYAyG99RqblVxhFnfTrNxXU3mb
xcxxxkL3qyzWVs48HoeU2ZWxODdLAWEro9o+Nag71yaZQDtDrnYtbMoTQXz6EH2bt3yZ/nf4Vv4C
nyKQjf2wHTFtlGG2CsACABGjzZ+6dgb/mjEzrD5qN/nqkZzoq9oj6Nhzn2+v20N5Rl/jdbv4wtyO
frQrN9GZGe5INt7+U+C+F7g6v/DfFLjs2Tbgpb7E7ZdfTaz55O/qXAY70KVU+Sd7X5h9V+dqVJdQ
UuQY591/81Hn2p9cgZWGKckfn/VR56InJOnWdOD9/f3Iz5/n1ZTfsmA2+T++KH7MH6tcM1NVJwma
5bh0D7UTrPqPfcZfvlN/fKO+19F8DdW2DOHKev6niTgccKuaKh363KSAP6BXj/Fgvg7D7rs/wC+e
iB9/kn//Pj89EAhoK1D1Jr5oGaLbXIz2t17uL38QOaj77pH79+9A7/F9RxDiaxU9u5+jmOzVYNzZ
2BqV2XMVxJPDGsO41w5PFZdgfNURJarFb6wAw/BKlKeuAOAPiBVbjRlCdgdsYlAw3XBa+hOt6O9/
FXIL8ttXirHr+1eqc9XDvZC/C33NcpBL6KEfsHJqxnFEjo6aGV7OV5t0vJr/17Fi7/cvgGSHf38B
GtYdOaUk0Fb8ZFIvoJB1XLbzkUlzrMEXa0hhIUUC92Nl1JXnEqLQ7xk8nDWEV5n9eK2BdeB4LWHj
q8pCc1Qj1qgQZko9/tnoUptus/xR5PrZGKgtYgIl0e4mPU+2euomDk7XblUkmGusZl+hdxJDvdG6
GRHQTITZcbDidc44RqpYycTcNmSA5gyfloSw2McWZXbY3pIzcNC7jPRGyx/AUImx3NOFwjXGzJhU
fmrelhXeXIuac6G+j2fN67WefMF8zUBsrh9bfBSzAjB6LM6xp50Ik0+mfDsUxKrlJiGk+qKvS/e2
M/DnwL5IpB3SjEPDN2JS4FQHt2aZZk9AxuAYAuRyzaD109D4pub+yzezJBx89xaRZO8fHnzjp8dl
jGFvdVO7HNWtvgv2y0X3oG+dfXMkye6i27G/WRPB6c0b3Ttjf7Ap/elJ2aebbqturUO8Sb4RKf7y
BcmH50+J8r8/XD+120aW9XYu37Jlumf4W4w+RgXg2eq39epffp9fvTO/P45+OvCcOF+yCBHTUSGr
/nZ6rUMPUTEAALbnv38ItB9/xd9+pO8fgp8FDPz8je7G4hghorxKJxD8RIasxpYluBceERb//hv+
6gRki4BqwiFenV3oj0899sHJtjNdHEca+2J5GZSr33+DXx2A33+Dn353SAXRDoRCHKl4JexhVJiC
pv/JT/GffZOfTll3wi41o5A9usP5Up911i0jhd//HL+6kr7/OX46HmfuatB6pjiS0w0BDCCDde0m
NOfTt5/lv1shfYi/NGVbfu3+j/zKX8pqbuIw6v7fj//Zfvtv6kP/uXv+4T/W74TLU//WzNdvbZ/x
qd8eCPkv/6sf/Bcn83au3v7v/3p+zeMCmW7XxF86QTXzE0NT58/y+/LorHyu+7j49af+URypn9iS
a6iDMUj8iN9kN2Y6FiWujeKCdRfzwY/iyPmkU6NhS1a1D4Lyn8URk7x/fbF3H8bHb+Lq22HDL/Ev
jwrdlofOn4cShyRFlmtINJ6hyyCGn64x/JH5NBlzc5wVXAggksjfZg3CKodkF/xHscFRGNnRpWU2
BIVZ5qkGHI4sSL3WA+M6bchtVNnaT1O0TwZaWFvb0MFcpDjYlGE5ywrtwinovQU0ocGYyE/QL9SM
0DW9zy+Zg26C0L5oI2VTzsoJB9mdPRcP5Gx6bOZYIWPkJYcGaf8+JXo6UnBeWZG+N53ovplHTzFU
Zn7ZZT/H/uCqlxMYN3ZgE6q/BZmO5pHTdmfWSI75idZZM764cXcIsLV2jf5ZD9EGdNKOajFMcc8H
o74MoujSZa6Bt8kLo+oShvBKL+sDMtcHZr27SNMu3XlewQI+JlpyKW1NQ+/6dbv4kTowimyvoqg/
hOPsYZ7bGmO/1jOLhQTTBfdr27hijfG696K+P1tc5xnnKhHsxkOSDMRfuv5gttdRuAAPSPy8wrNZ
NTdzO5PGMsXH0LSh8o2+llh3Zpvvlrm9zp3uBfP0peIUlzg/LgYr35lLf5Y3866viQcKK8lyvqSI
AeUs+2zj2o6YW0Ge2XU20wUjGw9pz7BHmxFnBumzXhrXbmV5EbzVFdfWsVe6i1Dk/hIO+2YpmF8o
14k77TU1uDfyGZ079r+CrrGOyCKHXwMwRK09qcNkIDAC7KqnUzb3gV/G1rM9IIuvarIOK9r2cKoQ
5iJCyMfppaCKJ9itQRuybmd3RIrROk2yw10T7buS2JqjsSwTcxLDKvTt0BRk1WgI3Iep3ZtKqW7L
Gj8c0qfrtOyqs8JqGG/WgNswi+uHyVwGsi81gmWmmEwfzDGEDCzJtdAEjhyWTaiTsd+TPcFS24Hq
DWu2EMuCPbu3V0lFKHzHvtjr7dHYBUPBItCab2Jjrn2I9SxRdaK8lx57JmUUyJqwvXOaTl0zrp5Z
X4lT7MyVvyRfR5N9lquIW4UdKIm4PuEix4WsWqNJL5kxjqgikHJnwRuD6AMAigcFLXNyaPqOTd9s
AKepUKfoVriO8/IkSpLae9y91dB2BFRYBBVGRgrMwngJQ+jXaiNnMW3NatdwLyHxEAs7Ja+u0k9U
+oC9hoHBfiqct7ByPxezuDNN643XD0qmVDGiz3omR2PhCg5G5ZsFA23I1fFqgMxYZY2vO/FxiPIz
fID3xjSzDFXPEtc5I0+crHSlX3Mh3MeLwOOY1ZdIQWrSPdGSiF6xDmUW3BSVtBkSs7QW0aD7vaEj
Z9OKxxEXkt/W+atSSpLgxC7bBhG1SdJpHyjZNlERL7vLAIeJ4XjWTcdYtV+gcLxMxkAs+IRhG2cG
zHOkwnaUkVaFikjUYuNUUD5qXWyDUjx2NSQCjinWoqRwhdiXeyt+nEPSSlzFgM9eM1kGAuX23YvS
N34rcDBNAUDwInjQQ3YBM1lcC6tRz2AepPeKgObJ4nBpqtsIa4CvJvNMmDp/9ykIHnU5hwuqwOb9
pW+IboMq5448onE6E1DFY8n6suXl6V9zFVv8EIQy1oSSPCWbfszrfRwvFq9tOKuc9jjlkA9mpApO
ru/HSCVoYSBmUz3rRmdZZQqk4hgq4qpXp4s0Um/GsDs3i+hWm20i0HFfFk3C9tgYdd+alIuY8Cs8
aOldg+V7FWNm8HG8khsfRWmxacY2jDylDND/syolmnaI9kYHTwWG+apQHWWrLgCq5oKJZtHm5Wbq
BRE5M3IssnNtbcpOMcqEb/Xof3cxsn0rL5/zt/bH4uN/dC1C/fb7WuSij9v/OL7EbfWrYQ2f/lGP
aO4n7FqM1FyhOi702++WkhKW4qhUHi6GZ+hvf9Yj5if00Ixv+ICDNNHlsz7qEeOTQ/XiEM5AopAl
RYk/FSC/K0h+LPBlOeLSU7P8FHw9BDs/NRQNm8gWTXZ4DMFIt+I8Nv5FSv7Lkgfa7A8lD2Jwl20n
X8ii9LGd95nU96ODXCtVt8rm6TJM7T26PHYCQiTNxs6nw6RDeIKvObdb3r/J2lIqVpha55g3Auol
ohJAqQf0Im6LCjmoD32jOPX/Z+88liM51iX9KmOzT1qKSLWYTWkN3RCbNMjUGanV088X4CFvk5fG
a7SZJVeHp0mgGoXKEP67f067jOVUZ8fR9HEtmo75hV4apLWaQV9LwPzlLiVjva45rmxHDNnbWobm
ejAcY8vzxU4nBy75Tgnaq3euEzKb25J6v1Unw5qodpiZ67CWibYt8mGWd0U9R185/uqNZYAGT5Ye
WLA1AUhhJnjl+H9rowQYuY5Erlt3WEUIsbDfVjctHKQ6rubNrBn2QhujJ6s0UMgjeiDoo2VMBayt
r7ak004DpRILt9UuXdT/sFPrvvKbuzqdT2HR/3BspoyeQ9I9jcWpqsU6FNUpihKA5WG6N2oaFsPR
OQ6kWDljqg5ZkvcxFnWdPWOW04GEy3OZJBM4EQYnuqyu6thJduzzp27U3yInnRiIQMsVgZixwRjg
ubBLTb5PJ6yD8ZF7JxqTlYMGH5mOWsF8rKby2AfadszTXavF4TbP7BpqwEwRIvOsIT7nuAbXgSWq
BYc7OjzqfcA0ILIr9hG08FWopRxw0LZCGL1FM2IhivI7WbfHyIIboU268z71KfthHQ5LxOvNWPJR
HQ2QCTjkOXgUKzCs+7GsmAvT+2skbEophkqy0HQ2h4l9Z4tJMlcT3a4paKyB3gmcLxB4Haf2XDm9
Bry93vfpOG1lpn8Kp/tgRu1tyY3lR8vPSfdFqR3flIWXE+4Rsb00iKpxC9EOPl7YLcPbdwaD+9nR
Lq3hPrQYMbMocND0qVpOvWVnGSdKoW76ggaeBEhgHawbQ1vmDsWXhJO23tAy0rN44+1C0Rb6R0M1
GJV2uAKw+0Lu4EyXMs3s9XhAYb2e+aa9QSyJsdcsaNIutVezoS1UG/dSzCcrgFHh/hiDF+nNBzen
d9GGLlG79kM1G6Tsxree00zXehQT5+nJBngSBolBmW4KRSz1n7PQfLZIj5KfNk6+KKhfFldVtJty
ES2jGXCZjU3KjbR7b2weRNpT3okgYUfhtehJMkIpxODex8cW+YU7GcyE3vhRatE9o9AHrZTAgYeN
OivjFztUvnYYR4gUQMgOuH63mZOxtbrNypIGobpOtLdiSA78fEc70V/Y7cFDWgi/vsRKYVplcqG8
M92NWm4+y8FznxpPYkkYpyl4yNsgvR0Dt+HalBkgDYMaXEMbrSot5ciWwQqL2olGKlPTVwOPBfNL
O750QtFKsroPmmVXOuoJY4DCAM9XR8Iq8N5mB/5sZDs/NE4n675xuM5QxQEQswfO6Dd8mC1VnNJl
x8nDfBaa9m2r67D0q6FahX3pLQwjOfZyusvLdFgkg4TYXTYUYvniyXHuEn7zq6qD8eqOTXHwuNmc
g5IA5jiz04NPehMhRQMOgGQeOeKewr7Xw5IhbDLBl5jCUwLHdjGlwU3ayrdu9JcJ/EovMWGsaPod
FVrPllW+NF1KrCTZ9Un75dbDFb31CS6OiAPvkD2bSbeJHPeFK+Oi85g8CgMbcjDA+m0bTJAJScUm
sFfTBCEpc9dJZX5glBi5c4B3K/rnHtKjLdqShGP30lAvX9b8mtOBslz30SiaH/THP9qGZLI7Jndj
Np0Kf9i1FQFUbUgeQ+rP44FHdBzPfZBvwxy5W8+c27adr3C0PY+RfZGJWHqifxxUN8rAuMqd+00v
uN2Mek15DnlUJ31hJg27O3G2SKVgljKuqq0X78NmxGRuFXKZ2M4d5Qa8gxmBWXhJ97TUHVrLoTc2
1p/ZCbixISdq9BdyIGx3Mgkf7akiE6nXO5vRIcsNYMLxbBX89HnknrzO3dVpeDDgIvsl7hzox6WX
Xlk2jW05vmyKHBh8p68aljF7iHddBu246oJXcBwH3utVPI9Af0z/ILrppil1/pqiOSS6tqtt5yUg
M9dzwxdtfxcId4U9at40kDrp3I6uocF/4dEEikxwThcJOjccF9/OMKtU93nRgu8r5K4PcddhhJtO
+IqhmJonxrYvTiCPes3FwDRly2AY5JcUYrgmbI7joA6tderVT4UeUfKte1fYPvFvFlWl6lFxNkZj
vrEd5z3OqCWkyEd7GkqHzwvBpPUEFBCTYpx9jExUV6aVRw75YvM8RE3w9dP57D86zN9WQ/jQMGh4
Vo5pHzVHqTI/ZSiM1DZw6QTaJUke6HhM/Tdhb//fXkKdtH56iYlPsZN2vIRe4TvkBl9ejcn/oJb+
SWXkJKV+DEdHiDUsOAB/+jFMs5swgMXhlT6wy+Ngbk/jeK9pq7//UdDBftKo1IHNV5XduLeppVJp
vT/+KKFMJstN+/CqI0Zbce9sTJ7D6qET10NvLJyGi499+H7Nf68SFu/u318lzq9U7v2FqMkX/naJ
MOlRZ/pOpYY6+UPq/ukSQdzIBOFqu76F9fHnS4T7C+FJ00XyZGgGhIqv+u0S4f7CmJghGp+j/y8T
X2iKHrVGuAdc88+xSmxxXZU72Bd0eV2HYj1RU/DTm/IXzy9/058/kTgnuYSgmdr8hKog5E/yOhBY
OtXcrrtqRMLC/kPTr3z7phE7I+AjCVxg/fevZ/4pdaUmLX98RfU3+ulxNgnmx6xS3VVCjQPnuBBs
3NRIk/aBUDY3Qy29Q99iVXRS/N+Ng2cOKnMVjAQF2rxlDwS79DIywN47FkHrqSrFymgklHsvOtkS
MLVnpsuy1j96Lf3yR+2pmPNraZhi4dKNTgNqrQobYAFaZgSmgBWUxoY43InU2TZTFm8whQL045K0
DTCjLGPY+8D2OJiRYMJ9bcZEdrwlPK9bD6EY7Cbuzrg/aVXAbynBVR5gBIOmtxITeDRnuAkIC3Aq
sHZSGtc9QH7To0hdByBB69pRUoqBSfChBhm86IuXfrauRzfa9e7cwM1stvTMbUXpHei7G0kbyGHD
Za7ZBtF0lp0737k4YpCHbKKed5TsOTuHsW1iFNWuciKtvZm/57hdXo/yKmM82XKdvEDcxrDVsElx
56uIh3snh6yZJvITvIf9mJI784OLpqeXaXYejQy3mopRLnzL2tRm/C5s/QNeok2mQZzHUhwC04II
WZ7aYMCJNO0nK77W6T4pAvbZcToN03jqPPIM7Zzry9Aejk2vP1YUvQkB0yMv5gc7Y8QK3C29xF1x
XaQt1eXEp+b0oMsURF7p6FxBwHJXo0ebeZ9ScDBla8yND6TrID5oergx85IG4G5o4eGaMNbjajpl
E9Q4HK3HLEcpHK5E5N02XW0QYcnaRRTVG6PMD0EWX3eFdjf01EEQ1l9IhcyNQS3m7Ycb4X40nATf
/LD2u7yjiMJYsTcyHJ5u2k6ynGNncHDhDXW/wRK5wuC2yA1QiVJiPBLXeVBVy2HEudVmaX87TtEt
EKd9TQ7GK70nnE7L0bXr+1LXGENi6ipAn8BsgnwHQmNm8C2wttIO8qlj0Co6hxQHeRxWsL2ZJw6e
55iLPlDAILyO4v4s7ITy8Xw76vY6c4sl7NRj00jONqSB5paWMO3CnrUywRHw2N5MwECgnSAeWyLY
VL71Q9Q04/GEABDHhVXY2bRLBzvb11mxKdEWSctph7SZ74n5RospaxFk5V3Sgy1P2NGwP+OB9sxX
v0teE9c7yypLFmMyQN9raliwzZCTVOq93fcy8++mp1Suv9n04s+6fv3vO576qt93PNUiBUwAdJGN
e/FPqCN2M2Z1Fq1QJlfQ/5LN/F9gCHi465laWNDP+Ia/7Xik33wF/nVZFTnZEA74B7KZ+e0x+sMc
j/MR4ycXQhvFVBid/rg/zDD8IlPG+hX6HfaXfEa7Ml5k+AF2bKbfHKJtcYpVzXFMAfRpKPnzmqoi
hy7kjiY3Lo63GR3J9GUjQ2jjtkmjp6K2t8DUbq3Cw/9atYvGfTYcQcyf3uWZ/uXW5g4bqkpmM+wo
GSrucb1Ui87XM9iTRrvS4/IZ+NfKodnZBtiNGft1ps/UoPnZFBrK2dgeIkyz3LNcPNTxrmHvXiT0
RmOP3Q10uKGmt2phf4a+8jDTNE347ImARL5I6aDWhgJoS/cjBSUE5cze1L62mWmtjn1WPn6ybenT
dg4ydeXFrbOA1Eikl9brlvEPgDe6oADyu/Ri101PXRBN2dVgjvQPT+5+VjXaQyCOiZ5xxRm0HcUz
AttTHcAXQJ0R4978buN2boeyu8WqXz9k9HVnqrjbqbxDSJM3SUIihqT3S308h6rsewhdbW3T/932
WkIrXXcUNIMTAOYuT1f4ZHwgDL2ENIhPnj1gjgYjPnvDS6rTFZRVFkxj8Wm5LJsczB++WQ6DjhtX
Y/lpVV05nWIOAaIJbOe09bxhXZIC7Bres1CVnQ+/Fp+nKIj1pR2xsK4DAkVbImD2iEAST4g4pd7u
peeF69bFD2yYLff6Suq1uwZwh/W9+W6EyPpqwFlrm+3K+e6MGL/7I3JTEivLiAKEEYt3KXyINRX9
ZNRPFKqHQlONFJagbYCbHP80IHRQW0EPqVj6afWF8cpZUGC6mlTHhavaLkI7vXXnkioty71okYn3
1iz5HjolRlr0lI3iufBoz+jH/o7RGO0UqllDVPZHQtWGOY2fc8vi2VPCETqCjwIkIV31c6QIzbVq
7KCqyVoTj6aSTLV5+OlORPWzl9rtBmBRtrap/phaTLKlQICE5P7B3qiIYsPIJ6f1V4VqD9FVj0gW
apfwOQP9ScFIwaBN0Dli0z1iolzZ6Xx0Cup+ZXnTW1BTI9pKSpVIc+gvQamDxM/RJNSdx0Dl123+
xDOGx3CubmI6UCahNUQ0ngvbZiw8afIIHmSOV3wrMjtuutI4wBAfZA6qRQ3dlSOm54Gqe7TI226S
4T6NIpWsuDCbAoxdwsIlOJ0xLtM3zPfr93/3FQ7keCaYLfzNvvJatK//a5m9/uXmwpf+vrkYvzCM
MaDK2HhFvneQ3w20Jv/KFPAWbHAL3xmy3zwi7i+QbRzlkyUqBh2Ra/Fvm4vDTIYJju8wxAEy8w9n
Mn+yeampjKLf6Z7Ko/FqKsj28+XDNUIjy2pbXpkeHaSmoqEZg5plUkCzMMfQ2A9BusmApxU56V3G
6tFzDlgNuXXjwWWSANdcwCWJrV3NGshfLAPLLHHlKVOUNo5sPyZdPHl+SaNUg07rae26n9J7p4bd
Di6FSbMivsnEvRlDeuUXmOBLfZ15js5IxmbKYoz6ZebwBgtK9NsoiKhmtjnsFnobQaz1qY+oy4UR
spKxpM2BRKnVbbnrnCFfsRhdRowpi2limEJG3F5FYzuu+l5/6NnFaAhfD2bbMOIHguvoTFrt2n53
+DmXZc73rXyaCSm3+B5Ps/0WybsfYx+YAklYPEe2zCbk+EIE+6zkxInpZi0LWqBZD7OjbWvDKYgh
RmCmL5aiTh7AKiDpZa2BnS65knRq2KoQZJgBXzndPSMcGkjS6kGNysoKAB3wtZMYqW6zqkCNlYtu
VWhZiQCrV0u/5j1Nq+5ckj9eppPMNnOvbcFjHOzC/JEnPeYwzggoqDaQQGPnWgS+pjT+6PFMhMV8
mc28x/MgCKMn9VOmIg5EUlX37QlML/EFnY7cMO2W2ox1R6Z4bhuJtFe2CbkBk3aB1rlJAxLW1tAM
K3MO15XIvc2gyffKpN8R68XFhGwtKm0r9fyU5/EV192jZSGf5qI5Vj2fmaBrrqvYAWme8tboCNlr
gazYsKY2Sbet2BpdO8Lc40sNfnEiYV8Uq7TUtnWi4U+UzXmGV8JvDym+85xbJLozw0C5rqd+JPgN
3tgkF7mw5BwvMtFiZASeTyEb85GwgbQzRps+Kc6hCF6mqp82GczokJHlym71H6ICaAL/f2VkbFxV
63DmCG9CBhbGqLwzI8YO/6N2BtCNfcN72Dj7sMI1g6/q1HbNVSybSruR0s3mz2nM0p2Ld8FPyx/0
EBGIJCLUKDdI0ak29tZ/lql+29r1h1dO0Ehow51DkPrOqmyGg99yptHNo8yiSyzlYUyaSyGz675g
xlA1oM6zoBv2TmB/MSfquOEPltjGXeCCbin6+c505nNYcWM2iFluQnWLHiyH1xXUFECZVPfsiQv3
wMW7tp8bdQ/PO/+h4AaYcUGvzZpLfWvjRrBUk8M1mRssM5gXJru7YbHD4NCuTNOmGTCmoTdACLCa
9gTLi6MZgyCJVOAa7jKYwruZBsuFo9SESOkKZk0mVeRuQVTP4GKt9AcLIYKm33BXKW3CVCqFVHqF
1vHJKUo8P4VSM3JkDQ95wxXFl0TuyJXuQdPyjxk+jW2kqgEHbcRWKoleB+7CTco3D5zUiRb0czx6
LBO6fk1QkYfBrYwrGmU+rdkd1/o8fHYNTay5M95yDCr3VtG/MEXYQH14mmIXGEC18Rsc8TlKDNOB
RtBjEz4WEJyw+3A39CZ8HpLpcX3tx9lRh0U5q+uxXQWXxMXeEzvpThaTivLYDx5+Kl65X1q+uDd0
yOURnezk3IwSLGUyrivNPI88Bteu9G8ROnZjJqiDzHoqkjIT93liqPA5aGG3XfGzMnxIGw5gcfUa
VRxh24lWSBKrayhZX6H/HnMZaFrrNuU9YR8wlmZYZNzKveu8NTd6RDdo0KdigauFztl5AFTTJ1tO
gFjckgzFqtU+Yr6d59GMaNu0X9vhJQItCLwq7o9CM7gJhMa0s83xVhEoaCbgCCljY9V5RPbGitkl
Mj8FECNUdFhV1jHClbDsMvcFkGa8ZzlehCOWlZA0nBZVd2ZM8ck81Zj5nG494ucioN+8pyY5VK2x
trXtggWrqjPXmJpPTXnX2eNJ6A3ADotGFfpL7LS8MAjL9qUxXIXteKuDjNcCa2KW4B5l5e80Qxvu
o3nqNkNnfqY+nqrGdW8YtpBcVsjQf89Tv56n8OH+j+cpUER/cVdXDt7Xpv0//1sDKoOvFvcIkSNO
QDhK/qBOWwZXcg5voMcdwDK/W27dX5AP1bDB5Yxjw9j6w3GKQ5Dpsdhw5NMpg/4nd3X7j/7v7+MU
cSguMJzpMNgqatjPxyk/0CQV7V55VeBBhELuAGcxM5PW1OIxri3KdhMktsasAe6ntG2SEN5XtvHV
szFS/5MPh0F1lXCsSEj1dbtQhmvYEPbKqtFzZdEBsKUmK3GTtyGooflCvkIhhaiS0Re8dvESLLRy
8q+jKn+wa9AY1WBNfMzn05Ti5Qxb2lDjxyCx7tmGiytXwW2lwtx2CnirY3Y45DBwA0G1Xer7N+zG
I7085if04W4TmjwMBU8F04NjUo7TRh+LtdaMtxxUrkb1IGE1IVPPkyqqra0etZ5nLnfru0g9hKTn
z416LMPW2qa6H9EH3bxP6tGlrrFfu+pxtniuw7i6E/5EpwwPPDeYRVPX8Z5+iBfDiFwkw+HSh6pn
bg5Jzqu1Y6S4UK0mY0p1dVan9LTOt8H3iqPWHletQlkMkDdnYfLL+OCrlSphyZpZuhK1hsVqNWNJ
2g5qfavUSqepNc9Qq19HDX3HcmipddFigSQoyVCaJRPr6K1sPkwWUpdv16mVNVZrbGQ0rxF53mWj
1l/BQpyoFRkHgYG7EwSzWq25SlO5xALusZBjTJLXVW6cK7XG62q1j9W6z3jF3M6meS/UnpD2/spj
kyjVbsFZCN8w+4fDRqKrHcXjxB6wxTSyvR7YctqMIjS2IKn2IsOOH321OxVqnwrUjuWzdc1sYVM1
PWE23XBEeBFqj8ut/pbDDJoO2x+vPNL4l332amcEoUFOyJiuCUtbuDiis6/20d6q3wy1s7a1YWK1
ZDARabm7rlxQi+upaNAJ5o2tBhl4EstL2GvuoVRjjvF74uF+Tz+skpwTJi8OP95w6G1r4QXupi7H
nUIbTrY1rKygfvYFIWMxFcwpSl4COyvawK4eJjwUNm+xFwZbLY/mB6uUxkKYmMqt0r3zKufYGtNn
FlVkdlP7Ngui8OjM/XrO+4sZYcEm3outF4tM0UQfyVz6+JPdDwIqhNY92Mx27zeQhpubtpK8xfWZ
xhNvhZuhPEiXQy3MikWVYpyCes8n3APePU58xdhD/x/CaZMYwVdWBtdZPXX0/7Y6/tpOLp0O6YRq
kWNlFvp61p1qF3YzXdD9yg2Kw5CYoCkD8zmh5VA1/rT0e2n62Rpq+1PXg/Re6qLcZb2He8LIIibk
/+5Ov+5ObAl/szu1r8g7GWy/v9id+Mrfdyf9F5WFdYRtOv/By/5+2YejpjYlwRFXgRp/2p0U+oXq
GSCOLtW43//qt8s+s1MFo/0exVPD6/yj3clS8+CfZpu/XvZRHNgeIefqQuev/vPuhOfDSusxk1cd
kJP5DDXWTi6G0BNz3cJ8uQbG0LdLjHUXu6yuuf29izAa1rWZ3/cGN2Bw96fKrJ+ZHR2ypriN83jV
aiaOtyQ4e7Z9JmqeLgt32NI5GZKBS0+RPjzOSfFJdmJcyN5sqMB15I0d0tGRM3uMCCd2mH/olGd0
krXJuWUIOrKbr2qrL4w3kpILQOVhRnUn6JM9iZs6PmAda8NtSrPpvNB7n9qivLQS7GSaDtnB6cu9
G7v5tnIp/c5oxLu3gpYlOMiHpFv5fhiJU53EzXMyBMWq663c3PRdn8xQRJKjS6UrpQK+3Qxrt7a1
lf+dU4A+QTtN9Z1fyL+zDIiDbx2kzMWQFY+uCjy00QAXUUUgyEKUAWxMV8UjEhWUsDp5jlV0wsSW
BNAsXldzQBsu+QoZANInb6HV874lf9G7+bLohz2L24qe9dM42CTKHNQTkht1Zt5OTfxKqdCRAIdG
z1137lTYwyX14an4R+0bt32n7R1yIQwbL57yvln1IteGHXByAC35DovrKfSLS06+pJP1m07exMdC
b5I/SWkgisijBEZ45cDJX1RZeZeRWHGLeJWV+nYgyVK33grj5B7e5WOufJ4kXnyvOWQqAoNV3SQp
+FWAahdkZCyyMoPKzJTkLbirB2Rp/LR9pp995XbeqiRrU5BFonD5ykPSYPO+FEzdG7I58yDPPVkd
6sgu/C6XZTJsKL29JAGwf7I9s2VvOrI+oH+2zENfTDvZMBE4l1b7FkrCQepXH7r+vagNmv+MrUeK
yFBhCqYZpIBoTamSS+3QPsAWQW/Yg00OKUPrJSAjV9h19w1JJS+GwUdyid0TmE72CPfnQeoRtHRt
E5T2CQP2xiT5pCdQ/5zJOA1kouhIaZc+KamUtFRAaoqTKFWDRG5IU2kxyAnSVbLhAIeB87N2zdve
H29rFcQKwt6+Yfi5jZ2BkFYgoHSa+VWd6ckeaAhZrtiUwHwx/XHCG6srHalhMPhIdaqmWKkQldIj
SoSJCYFCR6gQuQVyJbwZlYIxoqH3WHRXFuJGm0x8/FA7yjLYgj+aNpoVvMx1dh6UMuLl3T0QUqAh
FpggpZ6YSkcxvhUVpa1oUT0uy14riHgY50CIW6GUGKbn7SJR6kyf+NcJck0jaN1Q+k0JOoZ7mpts
oKmcW0QepJCljeijAxha8+ngt2VCPqPW+bpitr8sEItMpRpFU8PcGt57kJ4sZCWqwta5U11KpTcN
Vf6ORZpfxqwxyEWTSpQ6xYjoxs68vVS6FY5rzAtKywqUqqUxR5JK5zIjG7UE6SuPMYWmiGGMO55a
pY5NSifT8vnSqbARApqjlDTNQ/gosfqOcYQKgdzmILvhJD+AmNt5WpdtSLiVHLqHMwoxMwql2uHz
JUaulDxTaXpDXFabpJtOUul9jhVfpQiAvdMR04rG+9Cx+bzTVVkgFva4+QKlHnLCxzKJoOgrZdFX
GqNQaiOkvuyIUTT992b6K9rZ/lulH8GVtpzpv2/86st+3/jNX+BQ6Aa1OGpM/KcuWkd5Ab83fa6D
/5H4BYEMJexDgjOZRpHW+K87qf8Lfw52ghga8jyMjX9yJwWg/uddH4aBT7zD9Pkf/iq80h92fRjp
TlU1+XVBckCcG7NDD566mOElZoXB9LEq9wxICQG9I8W+zKpEDjTRnVC1cpb7NvVgkUv65mqk8EoV
0BGayEhxuRe9pZyOp4dW2pJkYCDZOODuYJPGxLygtuOiqYI7AmgtbmB51Uzth6ZK8Gx/+BCqFi+S
nNZVUZ704uOoqvMsPzlrnD9qXdorqer1ohZrMm3i2cKdarJi2NWpbX3r43Yz5+m01enp00ZjEw0t
sYYx3LlueymQgwGaMV+zq+F5oNg1a6dsmaTGnWW3T6HHjcpXvYCGRUNgGCP8MB5hT1D9gQZFgszd
5JYBONEpCF8xUXgp6P+MZvMOu1C1iLr4ZjT1Q67bn6LNt1Y9vDYiPnLRSJc1wNkRd03tt/zX/i7X
66fOivdyxKNSpOGTbJwnP3mzBiRBYb03vv9em81VPcePthzfU0EAgLT8zAzEudb4y2JnGnZ5FFPL
3hL/n7Uu3KDj39GTfcGTf5kZDywTneTEZFLFbVdevk+MplrYBgw7hsjXmj1ws1Dlu7bGHTocjWMS
OeE20TpnU4X0fVSdvvaa8cFptIM5wIjw3fbgScINOvWn5SRgKqQVoIWyMLdTq846iVzVCtNUTpm3
Td2oXiU6wFKnD8a13ZkgcWn7W7qTSY3J8CPwXND03bWjd1j4ClK+ml9ta4HNxzQZ2KcpzCTmQWM7
hAsxzPhb9Xqfa5Bca1MLtjxowXKgR4jeh0vEr4L/sn5LtPqWBOA1AMB9mIDecswE1zXQilbsfAND
czo7D21SLfQ8/MG1+JPyaA1PAkdXu3NU0s1ni+vmpyKhbSY0QXO65aPWdfBKm+FBo+6QwQ7Cy4y8
sbb69G7STMqDTIfBkyG/cqpdofqWZ6hGV6kgSdlOo7nw5EDgpR/Wo4fRzB0oOtCS2kMFiCkdSv3d
0HbsMlY9vrZBmay4vaP61qDKrTR57NKVm8UPSA04cMEgrnnWVkL0HK5at90WDdFPe6DHZTTMYGnR
3jOVw1kUOPjzhPL0WdNu0BMirt0VhyyT2tgCwDEOEGcZU6GyHMMZ7US+pmOlq8/anbAO2kTlIzYN
LaxvpdusrWlMVlHkrj2Kl0iZf5EVYybkiq961p/9xj9hEL6U08RMwXAX+KeitTMxq57y6jbqmtdM
gHCJpz1dDFjKfdhUzPPQcdHsPfTo2pu+zKZ+CbXuOMj2Jiu1c9sn6SYu2tWcYm33md4Yep8SVxnM
RdLhcOv8qF/WbftVajlF1OOgBDb3Na7qF3hB4F2lli5MOZJdHzzn0HaEIxtb8xhMMoqkXpLjGYCO
PnPeW8ND33HMeMWCfGy0emTm05FBmPtDS8/W0qzDWycaX4G3wQ0UKVO6qsmA5bIFN6LaOTmeM4iS
yoF+19oVrDLEg2xERiCazPG7sGseOskj4TnnrAZ4KceA3kuLKUcXjEtXC++CQFzJ0r/zA7Gzxsmj
Z1bR0qfsNigRSYD3bMLWy57qoYnposJZyV0SZVw92HbySNlJy6VnSDcsq2TbzehtLCTwQBFv+qE4
sKDfTkL2u4rpJOnW7qYUvbmIbZtIuudtI0h3y76xBKKLvA+84kCiSCzTKiO+39/EtiioBCGGEcNz
dmXNUT3M+Nq+v7OdxNvNRffGTLBb+GUdLMzCjJZOUpF1mrUvX1B9C/M93nq+dlNM8s2xeLarzPWY
8niUgY64WopgLrCz+6DvZPVEB0mwbD1yBvk04uaAZLOIiPytJGu2XRb6Jon1dpOpmIkPF63kg8RF
bjO1Yb2gfEuBcWEqDxbZinbEAOljKl46fezsGaaCfhbIbkSoeWig2nSif4im9GZgT1y2CUHk2G4S
5iZ2SJ3SxMfNw3fRJfwZGG+Q29pMglskZ1A5ksGqO1B3MBAgS50H2gK2pLE/bGlf0972OTJdAR2c
ELBpOZnW5PCcrjhhua+orqP30NPpLHGLHZHJfZuVNXqW2ZF00OUTxsBs38zVg2Xy4GeF9aiRI6cU
4GOoso0fJA9s9voxdojdsv/vG9z63ODvqUzaWVozLGhdGtUNhsIWMewCZDSVfuQWDu0Rxahfma77
Ho9SW+WEFpeVLOfNJL1bI8irtU0hNPZe5N2ypBGmz7pgr9fTq6PxYWij3txAN70fCxcEU6Ad4jB8
rTFjh4TTsDOWZPUB1BVueS1TbI/S18M1ucT3kmIxLmvxs9DJZCeVc613zg8pnG1QZuNuDq2vRKfw
2+oh2JlmHVEqX0Qbx+U43jpw3XU58fFLjBav1uQviJg9O01/YXofr7H1QobWWLWjCZcPWaFh6WjJ
q16YZ5LVMELjIGF4XB7jPuOtbuvtNBO37yzFYdbTXcIIaBl7hFB05QWqzKBYyqTO1o7vfUShNi4q
L6w3jM71pcz7fiV1At3prFZV5xGmpYELi3KavNLuqTl4qH1uM0XsL+WQYdIilxl2XrsMgU0jeER3
rQN0gNP8vgu7Zpnr/oMouuswo02PcSl3mlIDBuDwPFlQdsdQy1bMsPcaJyfV0aODY2zeyjDH1cR+
zrvFFoLBla5wStfjzwExWCudL0fX7jWEy5WbK/XYT79cpfsymHjvp/ros5MvJtd+p51zSycPtXyh
cQgKq8By0Yvl6KSPYZ4TWB9rc+lxK0m0nMjWm+5RB+wTK/KEJhdGlxxKBeYouyS5mDGlWoRHFwwE
n0NqgGBAJPcGfcCotNqtm+OeNineEv7wOHLmgv0xI6eXslhXrRUuGSQzc04rfhzBjMMbyKECaz16
KK6eNykybgUnfhi+HNOF9Qp+eB2m1kbvu6ey59GNauMmCwt1WbTOlhPTaG8n9YL5+p0T8zuyXcJH
MhpZp+viPIqa7LsjDobXvsMvhR0cA5UbAYLnnf4wZ/FhnLJ7jI35aiAeJ139re+ZJnhQFRd+C7hD
Zt2pbOpNoY/eAjWFiyvxKT61yaevqBm9g0A9Fp9zXkMHKQiMovaYZvFE78qqdZOHsmdm0HDKc1OW
vqjikxn5g4vHJuYv2blbfay/nIgj3f9l7zyW4zi6tH0ritkXorxZzERMezS8I0FuKpoAWN77uvr/
SRgJpsmRvsai/wi1FpIIoroqKzNPnnNeY2U99kqc+Vp4lAHyx5R/Dl3XncHg3wCD/BHWzZmuF2v8
CZWZh+AqehZESg1V88K67H1l3hsJwPIiu8JhewWI79Ch0FXI4XlNT5OGzADnEfSaG88RlDgGKH/Y
BPk0NuQWtn+oDNPCs9ToIk5H83ZA+cM+LSS0NS9io4Z3NojGrZFL/1J3nnNQ6sG/rj9fNwDNHrak
oPzWSwqKgRB0M8j9qIiTN2qvOqPoAoAeRhLAePRrFe3PF6CZecCBSCSbhixTFxa2Qy+1Z+PAor+K
0hpEIA3or/JPstCPRh1oIDmUkrkHRUeh4L1RB9VGuUiTrDkdYwBaKLt+R+THF4rTFhVcyN9lDC3T
DaZD5p4EWDTMDKWrpmXanidVdmjRWuUMBzvMaQucC4IjvyECW7AXEYy+kuXovuWQiHBFS1iRANG7
nXqSjYI8KpveNKlET1b+isX9d7XSb53Co5rqO/rCFWIdjjQuYl2SIJL74FYREbE8CT2OPPwC1Ox7
PmQ3rU9qldWYSLim+aXErzilqVs70lc3hc4ODw+ywUkb+cegbL9Xmc2x17HOS824i9EFnic8GM0+
vHKAxa4bJfuWDPKAs5hG77MmZSziDlZkdzOoeTn36m6h6zAS1FDrpnoXxECa7fvCR+jEjs3jqo6v
O1LcqY09pxHZl1ng3BeVcw6WB/nAghRE9sJ67nbdqZ23t3KU3mH18M0tEEDL0jvKGfAQotKbN2kH
DdxKzr3cWeH8MdFD73uswjvOYzufdSbS212e3XWKcwKqup4lA3STnDrcbMALckHPoJyCfTyuq2hd
6O4xZ8PZGOQlZ4luIZcdpiTOStCRcaH8GejhA1J51xoMftR5bhNvRD3F4iZ5SY5cgqDu0OVWZZI1
tS/MC7OtTnyn/0k5NptR3gdC5srTpgyrCdopX3XPuNRrnHvtILrWPfVno5ot4tTi1w3O8Vi73SZo
O1cZyr40Xzh7QK52mzpcAqL9Bv0polbR0PYzZORXcLoA225MZB2Q7RgtZCsHDWzLy6L2kQqOIFs3
OW8NTEw3VQ2TIkhAHxTOu4lr8NKtOFpwelpTlqD/Qd1xgjr7pRUjZJtSpCaUobnrikQXoKFc9zQp
xypEfpcZZ1hI0tkjk3ioeIeJmnvzrhyvEIrgW1ObiNsuXLm5Gm1tHXSgmSw1hvNTuMgHx/Siodnf
1Vl/a1PQmlhm/kNWshJopTstux6ElxzAgyrp90v+Sk6lcCZZ8GtkOVua6E0rMlKCiE04K5oYA66n
9kMSFsdkri3iQmE+p5RxaHrDMFMboAYElZusMOA4AQVjNibULesfVeOQKZcKctkjsDAqT+qRnkbp
rId44R3GquNrsyjqvqp2VLbzUqr84AvD4NZnam1BIzIDQ1uYbiKn1xb5TTbT63wkwJZx5U/JC6xz
ilKBeT4U8I21ove+BWjNVzFTaCIMp07zCp12gJRTG+S2TA3Wtxzvyi9kIb1g9BdoYaxB3AXavLda
zeBwH6PObGPSe9hYMkIKRQBJeAq2I05wgtGAw8bA9sy+wFVMU2+jTpaDkzjNhWZU7IM3MK072cMz
l8bWUIJop+XuoG0V6UYxp2pkeddybcXVN9VtPSK0NtJwIBEz3e+REfj6iayWiTSJnb7J/y3ZPodL
7ffhkqNWkm4LmPzenwHTEZbkCup82EfZj5I4fzZr5QMozwCv6dcSt14HTPtAJ8SSa6qmCLJCZvcl
YCJtzB8QNKG5klD+M9qP+Q5KJGihOiZZYLxVR9eFj9bbsq3SGkwLIEFno+GvNfxh9DajzcBaGtMw
W7QGdavQjU/0PCbv17DObZRlkNdnPo0/3G5mKE5dpCh/NJqy7qp8EzX6N7cCPJ3WJ/2o0PzTV6MP
dSCSsmHqW943uJ4XLfq6czNJNpiUmFPdH1BviJmZI+vgKBmAFsYRQcJO6vRrpvlHTZPZxyky97Yv
PBpI9CYjbhelE/0wJWOhucq5T/ErL2mswNe57ZQWUkdqntnUSthKoPJEiLydNWZ2b2YZeXdPrXj0
LYpUbaQcGoN9XNfWoeYm1xSjHrATOKl0R8jSX3dDm4Hg8ZaZ2aBNzD6RteaZkVnruEa5xfGNGw3K
Oiam3zvfXFQtG2mpkIN3jn2uOyU9JCDqXXQadjgBSYrLmRXgD8aFwCdK6asjAOAZXkiyER7j7dRP
BEcF8gix34ixHo5Gis6mkyyk0PneE0ONtjnWGzs7zYsLAOCLhKx0sJQzy8CWQ+svByhFfQgjVkMB
XlPAr8fSbau7X01dXpgN1UAHVyOci5IfwQDtinb2LIGrBH4kPB1ahg4n+Au5dynjRGbypdAPgQ4h
HlzbHm34wmpPPRnhRfw9wDmZ3XRo2isfdhb/HSwoFcSzuki/NNyGWyB9FwXktHqXLY1AZmxshTbY
ACCb9xCGEjucbMezbLBl8PPaZWBnR13n3usFUTEwzWs9My8l6HNTqTaPnYQDTmNYaLbk1MmD0r+U
8DUxQBXDQqZU1RfhNerRd9DYZqmbgKGM7sO0/OI5nMBM1aCOwkOtclfpIPgQJbGa8qaAJhaaLiBV
Fq4wWRBBs2xmI7rTxhgt4UatIlWL52nTD3O1ah7AIeQz3US0jeB9m2XJ3MEVQ1h/+xyxqJ8ByoHY
0ytwOisgdBId2cnYk1GaipOfAEBDtyai8NZQoJLJGLMA4xnAwTa84LRBpAWdCmiwx0oSYU9R3Qam
dQyb/DJts2BqBfg+Sso4LpOUgljqlvSqB1JEgF/f87S4sltevNF5s4EOt9y4924rKTOtNVBltC+b
zl11GvA5xXUPLU58E4NJjxqTvehH7BdKhU6J6kUVrgKcwsICCURpHDYwJ6opxVcqVozopJbKdd1K
MzkyaWUACFBEtxS5hyUqfcl8iC5BVSjYfqDdNG6kaNjUrXnt9e11FIPH7e1zRD5hpHojhTWVcgii
3F+QlaHyg+aKP9YLf2jNNYYNnATFeakxEB1MpWHDex3WemWgjZXrQL1hQKuS/qD21UksSye9XKdz
dBLTOX5kGzrIqyGvjWlmguOWLVhSQ2dZk6GkZqUW3VVidRmifbWydFWPU6FGVbJr43TWNcxA/vyn
GnNUGozYpSlNQcmOpUuaGA9VwpTQzSQgUbdu8rI4rWJA36qiP+S5fGZJ3aIKKS1KaqzPOQDjiKGE
C18ey2NXQcgr1XnbjPhRkfLQUcpsaur0m57E2YLiMmJSge3Q1qK+EQ/eytXNfpUpw6Yw4cg7bI2U
oxYF0kE0cPWTsfbPqlhLOOIBExsC7aoLkw6IJFi/Sl6GpX6dj+yVmXKleIU6zUaAm3JmbTwvX+em
D9xFD2ZdAB3OkJsbyRyVKdTLYh6HtGZKg0kdVe631hy/lTVl90r3Vl4sYUmnNEKRNEKvpbnKbSWZ
lRHvV5Og1tCumnagyiZeQgelhHrGLp/5zhkb3dIrfHD2enWNmOOXSK2/lgU6lnHUfNUdrOcUtVMo
mKswzaoQfxnbN6aDzxkw85AkQY3zsKzCq9TUlmMOgsKNlG9dRNnfwfHOiB1UzZxI4CBNDnbql9a8
6Kr16N52NM987YImzISu1xeqTDcBImAQWeulmWanak6zMI+VaiWH5oPCRj9XUEKnrsvSplu5kgwK
J5Y5BvPYCuDD6vosc7rjKo+BVagrq4/ZfoNhPg7KFXKkR342jBNI21+tmhaBXNTroj4VOJvaQIrA
w+YEwQIQL5kTLNWihFheBl+VYVzCmQqP6bQoqK2VJ85gSQsYK9FCq/twMtJRhPlOGdpwhbS6t8bz
F7Vp0xb02Myj/zA02OnpffaApLd/0qX1RMclNzGsr2GWdMuyDgRgvxiHU4Xi/NSveM+Y/pkrz8bp
L3AFZrdau/WIhQbQ4DN5lLDyA1d02AKiwaPHtjeNPgzLsYfR5ed2MSd4hAvS3kViKCcgvw7ZjdYm
CXdk6zQXa9pGUqlrXwIrZ4doC/pvlbSiCnUKg9Vbpb78oA3yA4yNH4QcOER+vxpkasc2ijqRzKNz
j5WmZLOojzGrjehOef6STA77GBfNeZx7b1HpaZeDUofzrvDnBSoVFHnHBcJowjrKPPIEvOhHLa8V
3b2MXGslSZ0Kg57kOu9xjGwSZRrF8g3DTxRX4ge4EOtW9axFDsyqrMxlaGMyaGhWuiDdJ5Uq5Rz/
IxSslKK7Teuetld8ZaCbZMbGTeIUZBIhzZMxOux0c1EGsGhYJ7SQ+oVS59cIZNyxuZ7XTpdOY58p
EJjFJWDoBRucsux0VEAdBfqND/LEGjGyMmvMjMLkzHJgpEaujzqqEw3zsoeizL4fz3xz9OFsV/Ok
RyM1N/UKooa6GSuac3HXYbwLHRcH5lMOubdlmR/3VmxRbpbmSoCnb2d/I7TQ11Evy6I9YuWuQA7K
AL39mxxGCTIJYHYUQm2kHAdufeTG2VcjV24h8hEjUutrpfYnGdkPCsoO3WS8J4BbeV8oR6RTBRvS
MViXenlCX2aRdyqtj8C+8I2cGC2ZN03enoy9P0FP/UesG0hr0Z6stOG47e1mNZQDddbePEkUO52a
CRuhhBmWEdAkM/RVlMFPl8ejptQ09C5A8pgoaYRdkpxr2CTNaHJJyHCV6qz1QfYhvixobird7CQd
pnll6XOc7FaVrtJ1lsMfVscZxu6bcyuH7+GUbbb0nKo6TgoUTQqtwxnOstmU3GUUox3oPML/1Eco
IFAgYIFmLa1NgRQ0/ezQeQQPxo9AwvERVPiYhfyrwSAgJb+uXn5Bfr3ZxpMVv/ZnNmaTPamoG4Bf
Qc3wNYLmsXwpZKgM3XlWJHopX+oHDpkYRoc6QudPdJCXbEw7IJirpHCaUB8S6dM/IHaQ1b0FzgK+
FTQLpCAUjNaEQfJrCE0vS15blinFS1GnY8l7Fcq5VPhejcsW7SHlUe/qjdYDFBXV1nUagLKqyrq4
kVdaQAosjsIM9ZyToeHcRH4hmdPEiodxBagXEIRWp41+iIrbeAW1yqNzrSAvbpO75VmIH4k3OEeK
leR06EujP6f1cakNGVmSOXhWddRGYaV9b6mr2cDWi7YFiI4BXqu3AQZuUoz5QozCUZDnmTqnZ9VA
JpAQa5wElUufIhqcubCSlGdVemfEendqkX2e6Y2cx1Mlx9hrkbm9No3bBoYryqeoAHWZdia3ihEd
t3F4VtZIDyY53uS+c64p8oNR5fcpQcmt5GsLWbi005aGZGLtK/MUsPznDsoHTjI3+uTQHdDi1iJQ
x1WpzOKh+Onb/iVdv1NFzX82WnsVYxI7Z1MOv1kRtAkH3uqJZOUl7EzDXMeBg9hFAoxjVDGZkCTt
px5W8AdcRJXTusjn6HsWE3IyY652Nm4qzmmVAiAcVbvlyDeqyzq1bgZFuo1VJLWz0IfTUteeih4F
2klMCwI+tfEAuIS4BMw5JTLLm1KvtX5m2ql/WUF5mDcWBsZOL/e3OsaVjCKSd5MqovOmS+UwC2Gu
FDi1r30JSfrfzzFVwL3eTTFdNWS0eCn8i2bB2ylWDGXheWhOnRKANh2ZxhV6SRP4CjhupSB+J7Dy
5snSmpdzIvhaX2hzII7T/9MpQ4DN/7oP2FiaZYliCZUPSh3Es7f3YfSI/CBBnp1ytF8PMVbwkVe4
5DWcRmi4O/OidaF/qib1RdeWTzyrdNcK78iMimQ6WMOp48rU8NXxe91nzqJSQafVdb5w7fG7ZbjY
07j0osF3fgW9bFHUL4apVQH+7DtXJfsB0GD4/XzQnCVa5MDTEAzXcZEaDWc1agowKnWpg62bFDWq
FoGDhWaSruhfzzINQlIm5/Ou845VyC9kCDCPWk4ZSRLCJW+L0653tGXhCZNCzbvxcBBXtOSE1Eom
48yXcsREs5yCZrgcXv3+FQvRvDcji/WriWcV+yX1I+29lYozqp2TJ255KrcYDLERQOwvie1S4M+N
DJUTvfA2v//KR0PZ333nu7cp9a1VtpFXnRae9s1wOWVheYlHqrXSkwaRI1DJnkk1xUIyxIjpjYIp
GY7HskHbUTKOs8C+lQM6m6CWf1I65ThXnKiZeSG7453hFd+TLihmRVrkT1Z0/8ZkUU/8dUz+hi7D
ln4iv/MSkAXTUgayD+aRdp1uUDn9szwK2pXghEaGxTTjP//qJ9o4v6GZZxn4+sFKfutwrAGLMBHo
Boyi0lf8JwEZ/uabSQ6XBXqlSS0W9SUL+qbDTbyOlHXZhWmshv1ZXtMZzG2kHNzyulYTfxqqdKlG
Jc2uA2grNBaS5Kpq3HIlyUqzakYXTy9ovBjAu/Wk0LVTDfOUOS2Mnm0lhPBtttNalUkPi/aH03T5
dTbgGAkcqj93SMmnCHxaU6dxs2u9ak9KmVZAnWLvEfjZGe7rZCZd6l2icoSnu6Fqc691lVmlKDcJ
On+rGKfPZcjuAGHkUBvsa69oykWvI9YMcSU4i4M+mdKe+y7JJmClzv6SjmpwU1CmO/HVIV2Q9aHG
EBFEFYbgLFBsd0FhxVlh+SmcKlVzUj9ahOeYhceeRn8/HWuQKRaoU3zn9TyMJ2mTHDfFsIwczI05
+2AF0UwdYUhu4EwuN/o8sjx5ruJZHuFdjt/JF0bzJBOm5rKwN6fmmgCh978bOJ/3Jni1DC90r4i+
lkYKQE7YpLv4pdfCOB3fT3BcKYx/0/NW0Uikl0zs3IXhep+aaxP9vEkNjoxMBFf2Wviz+26HaDqW
7bxotM/N/CqT3FMdU3ebupGG8jFPot27Q3UuVfi/RzZVk7IeZZq49qk2OtBr3fHUyHildd7PIHec
R4n2AyIMlJLoTnJzdnHfX0dxf2YKD3qLWhZCIqi9kXUeokFpTOMGcZ8O83pwcvVUTYThJ37Ewt8+
E073VBW/5d54oetISRWWP5H6UYKRC3+D+QES1S4i+4zEOdR+CD/M4dCiTzrH5eIIaZIxoaJXejOk
zPE8towHCQdi/BmAJEoDZqrECNcJDbSM4jVedOXEwpwD2IxyrFnU0+OWlNuVFSK2YQfLwYjQioap
AmWT5NAw2mlrl8AMvQglDspxg0/tI0iQ1shCZ0HPnN5mNDLIHO8OpaEqyMmw8e1Y4FOZmap5+WWc
pqilBPphbztUHZGuv059F20iHUnMLO0pP4Wc8xwTuLIL7EiXU1Dl7sMA4jcAt3wYGcZ1Wbvf1TSt
p4hrTi3LOaVCGJNwG/j9do2MYoF5KNmlfkYdJptwOKmnuRIgwF7qV22UZVO3No6hUECagPI6lSVj
XcZNsFaG7KjQY+WwyKiPebUzjbXbSnHPpM5bdBBWF3TOlzXWivipJuWyGoCeA0+f2UX8w4+NhZ3l
LHWWSZ5bPQObfM/9at1bXX4YSZY9wy1VOfNx96ZlLPmX1NyQfNLRGWts97QtQD2FjjlXBwcfjhTa
j8YRAYmW/mJQAOChxElLfBjtSaOq7or6EvlrlenLwXOdmSwV1WFepEeej7Pv4DXaujK9EU1yRVrq
WYG/QJFfmJJTLsZoWCPkeAveVTtXQ8oA7H7RoRQAyPYRDJHACHi9587NMP9WWKH3s0pRF/FZxhdW
GD6M4UhVInW0unxKWf6NnwYB5zfxs/nBCem9r5j4nVfxk/Cpgw0AQfOo0/RX/FTIdU0ZZzA6iYIU
+lf8dPgJwRZEjvrCIH1JaAmtIqg6/Aj2Jh3BfxI/Mf74ED/RUgPWQxLgGKaC8MGb+BnXZS0jtSGf
1WF26zqpsTQjTTpSpYZqkK3kFwbbuTCjdk77yK0WGdz6aV3p6zIzUoS3AVcz+4zjshybCSsC/czO
XLZdcxXbfX5SjhJsMFmnMXWnoEo6U5MOmx5UTUazO3Rce0GdUZ6hmLlshH9l6gzJ1Or0my4tV3rg
p9dkKRhI5fmd2dnoxeQ3paLnQIY1UlWvuIsHJ5plFWDUoutWfd73wI0zP73A5mSphLp+LmnmkWt2
zrzuZHeadJILkbpsMKWg6OfWG6vx7tzERhl+gGztDXlxaKcOfqOZdInuSXzuQGJH8AViVawBTHEH
y5q5+HlNPQngX+oOdDZ1XCQc7b4KTEpkEC3rgJKeH90GqnZdZ04+k0L1IY+MHitT76YEOBGw6huT
zITDwMotnHv24RT5Nn8VOf1FKocnFUr5SeodhaNzrSAugP2BYLyo8nVuUUwdeQm1n9fT2AWeqtbG
ZmiqflpZ1a3d0SqscmSHCrApCESd27GuzHw3uAgcYLhS0kGoHwZU6iGl/ZSRiJORiiOeHrVCO04L
q8vGdMpJD84PdyMwnxZSc6FJQxSLoJkFIl9o3jYFL0y14IfUcRWhXFAm8yCt7DNHzYdljN7whGrz
IYK7DuIr5YNatBT/R8u7kAR+fwyMO0dtMcMa1J9xZgwm9dBMniEX45xSZPWmaVpCzYvwpKgN2mwp
eIu1hy2bT0d2Ksf2GepS9dQ06TZ7A/yLCIJepQCrKtXTPMsRdoUmOKkD8jSlQahLMaRl2INlbZXm
u5n7X6IIRauycaaF6tNRV9HxqjwGN6a3DjFh/GIFA0247EdC8RDGn76GWHGh2PlPWuLzxu+XDYq7
05TsfirXpXZoxsVhbibrvjbmuqedDUp0Bviox7QFpKuchV/lzr0xEqla1ZGTTX3Juilrz+C21WM3
px4h2bR/iyIRRk7yZTLUa5ngVUThZRB4c7OJv3Vy+cNwygzBW1zMBmDPdhk1M1SnRDqagiZncA1d
Wrcxek+mTELcOEMEnNc6RkvijlxZm1X18DXX1GbSKvkir0TTvB6L2dC3h5E7ylBb5dMu7n74jPXc
1HJ3mppBAcouv9XS/MThJGza2SL04QLYGJzVMt4apaCMxF2BWi/ROgqbox6iELZZMXzwwbivO+Ok
KxDfTOzwuHCBEQd5Ek3pMi5Dv/puh8URh+obJRq/KFJ1wf1xeNONidM52POhFsQNz7yx7WaOEp3Y
BXCmZpQvK0f7PtROfubpqMIFvdSvaWZKh/RQADGD1W+j4kpvpAc/jy5tMzXQdIN0MNE1tzp0La4y
lr6xSqgrly5whFCj/J0k6kUoU4y3Nd0EDlaNEymzommSMYkHO4YT4llneMgDd+iwrUGQDsKSB8tb
lWX82eQ7e0SD+DG8/H8QZ59vcasZ55/+T+Kn5xmcnOts/mi2+crO82/9pZfi7PYLPUfaLe6er4Ow
Ab71XdB+vKfHe/ndJeINrInmHudQDakgQ2ffUBzMn/lQHYuz1Hv+MeU2IrRiUQYmL378vH6N22/+
o6npr0bqPx0EDhBvjyLCV+E/GAmu82YoqLYDCeZE8vihzPRmKHAKUAFIWULLgpPSq3nynz3f3xmn
X7/FD2Mgqoo7j4GDRKcDrEDhauIjRuj1dBBuCbJNEUJU6vdyEAR47c059u8sibcTwUA+C/aeI5zg
xOf9mlCBy5n8MUi1PR0EcfrdcRDoTzlofaMD/rQaGNY3M4GNgXo2AmPW06zbw+XAe9t5EIQcDXRq
nvHN0zMFAEsKcfKnffPpq/ZvDITr4I5jAGxUTAGY+79YDXQeKb7D6WfD5Lv2bxDELrbzIBiKiv72
r1aDqB4TR9kS9nUmCKXjHQcBxo3Q5TfI5B8/77cEggMQYRJ852kP3sOZQFV/x0GwBYpapQkPiUh8
PkRIgoMtYqj+VFDZv0EQpY/dBkGXD3QCg/BdffowrO+3R5MfCwWwx+/av0GQ37eL/vkxAR0zOkWO
pmETKT5blgN5sm2A7tjTQRBNrt1mAvkDGivgUfRf5A8ESs1WFQXg654Ogrz7clAOLAEuUMV0EJ8P
mYNOiNQ1MoenSLR/y+H5OP9kPfxnWvd/JJJvTs0I/Fi4xnBwfo4OxJu3e4JKrRdbADgeezoThOnf
jssBtwIDiAlCBE8z4cMgIIso00pV9jY6CIjWjoNgH1iIQtHofR6DD4PA4VmQY8E0P4aPfT0y6bsf
nq0DjQyCNOF5Z/gQI5QDgGwKnpD7mk8L0cwd5wOka8hlBk317YtCpJI4pSN0va+D8BzBd9geNfOA
Y6MmeuhPRybm1tvtEVcuk+MCdbY93R7lpxvbZRAg5oOjUbDEe//0KsdqbGMYoD19emX34GAcaNZj
Dvm07X2oK7EOxImS5um+npqVnetKpA6iP6wDVX4/BfQD0LvslICXHz97OhGExv2OG6J6AKwaCqSQ
n3izCSBqgYOyTd/7+fywp2Og7B4ZGQOe30BqY3sKqRgHHBYJGtTfxGdfDwnK7kV384AVT2dB/8Wh
UfRg+Bm1pb3dF5527V1CAydnGZtj8JW/OCSIwotjojW6r9m0QJ7vuDHYdOOEAs3zDvghkWQmIAtp
g4nZ10PC8xFul5lAFGRX4BEB8YiPSDPf9aDQ6VEwI33K3Pcvm35ep7sMgn4gG6qqQZt4Wg4fIgVT
BTQwdnlPdch93R6fyz47DAWFBYpLQkcJlQnx+XBwkA8MGB46B6c9DZfqzscm6mykBiQPCHc8ft6n
D+wMjokFDz7xT6O0p0Oh7V5eoOTI4UlX9eeh4K2/3R+woHSIpo7zlGrt7dLYPWhSXpAxhvozYLzf
Jai+6ui7skmgrcJnX4dC230obDTf6FjTs3+a/8yz97MC0iT/kIHt81AIhZ0dTxHmAZ4sj0TQxyeV
tywQlL90ALdPw75/AVQkhzsOAvEREqvOofkXgwCahw6VzI66p1vlcxVgh9CpcVxEDdTW4C49frbM
BMTYqT6KoMqA799M+ABL/+d9OgFgUEgkOTU/fnjf73cGg7OkMCDe00EQdYIdl4NGuk3F3TZ/Beex
6FyAZsHUYU8H4bkyuMtyINHW4M/DU3iaCVsOUaoj6vHPjdH9Ww7PiLNdBsHGUPtxLjwPwrY9QSig
4p+x1ydJffd0m3I0tBQKjk9Hgo+BUj7ghzLHq/0+SWq75xekD/iz0LN77tF8OD7JB8A5yMKey5/7
tzSE+9uOm+RjkgU/6KX6+mEQODOodOvQ8N/TTVLIIO84CBqIDtmAaPy0R37sUpB0CL6WYu1rDUrb
fWegFwHMmTr8cw3q/SZJoR7Ui8xGuqcTQd99S9BhvbP3ESv+DARvzk2iLO3ACUG7Za8DhbZ7MmHR
tBLGVJReXx71zVCAfGSsQL88b0L7tzsK2ZPdNgbRuaNPQenl+XVv2R1FPsV02NfdUd+9zEAb39LR
dX8pRn6ouECQoELPEXNvM6qddwZmAl05kwL1L3YGwZRhXwAP/VSi29v58JTw7XCaZiggQNCyRcdr
e3Kpgn8kloCL29dIsfu5iQwbLTNA0c/z4cOigAAOKo6S7N4Owu4xQvTuyLBF3e3xw6R/HyMQUiOT
2Fvon757mQFNcB1HYsP8Ve9OgT8mGlfI4Yh4tH+BUkj47BYoNaGZ7phUH5/3hPeHR7ZH8B9IEQha
0V4OwgcxpX9edYM/ZtHL50Dwfh0AFLboWwL22den/4z8QdQNNPlX3ADRyHeosZjP8Mq/tQ7+xl/6
k3s89YP4/pGaHDxU28jJv/oLL5zcjz9/xbl9ZB6/+ZuCqvz05U/MXPH//7O5T4J0FlR1GdzV6uNi
f/XTl8X/+E3Pv//8iB+//M2XvTzXyx+ugodyU94hRPDIxX6+0dNNAsP5f2P+db/Zzhj+627++7/e
3uyrTeD3V8f+9eH9xUW16OXPtnC4X59Cf3vxZHOflS8XOrz/7/+il4HFnUjJd77zCQ7h226cm9v5
2tNNvGl5JdXLtV7dO5vh7tfH76L68EoZGBbuJ1w8rcvNH9Osqrd9BdvZzl8xe4j/OM3KrePPQWTn
68/jP2ZZyeR5udar8Se87Xz9RflQpdsuTlDf+eLL+CFNX67z6sY5pu587VWT/Mji+/rlUn9dXiBb
d778YZI/lMEmfrnUq8t/xpI9xC10y6U/Y8UePZRbxlwAanYelKMg9bZsBAI3ufO1jzfRlj1MYNA+
4dJV9bBtTD5jgR5n1R//m3oP8cO2kfmMJXqyuWcDfhmHVxPxM5boyQaT+C3X/owlKq6NrcGWWxco
qp1f68lDep/dBdt2L0Hd/oTrl3cP9y8X+mvcBfNv94tn3PvLdV5d+zOW6Um2dUw+Y5Vy6fqhfBi2
3PlnrNTTTb5ttnzGOj19aDcfz46GLKAZO7/Ns3LDFvByoVev8zOW6Hm8uXvYcnYUDeSd7/wcJ4Zt
hzvRh9z54pcBR8cquN8yMqK7tfP1rzZ3JSlBWm+JpQKH9glfkP4xecBzcNsXfMZSvdqILyjTTXm/
dSMT/a9PeYpZ8OBte4jPWLXiIRasgLugutv2HZ+xfMV3rLNN0WyLVgKJ+imjdNwE1R9nP4Iq3/Yc
n7GYxXOcbOqHbdf/jPXM9evNH5NN+WOz7cwgeomfMVJ8xxRj3y2bteinf9Y3lM34crG/9lTR+dn9
C/zN1pxQ/5RFTQ1j69B8ymIOqigYsuZlEF4NzKes5SzebDs9iEr37qPOwSTZNmc+Zf3WG8Se401T
vdzpq6H5lKUryixb4rCwVNl5aK4f/M22oTE+Y8Fec8YP6i2HNtFK3v3Wf2fx/VjF26Fwdt381hB1
18v/3uBn16v/xqpg50v/WsX595feVpb9s3nzsVj7omy47dfe1qLF37iLHzbl//w/AAAA//8=</cx:binary>
              </cx:geoCache>
            </cx:geography>
          </cx:layoutPr>
          <cx:valueColors>
            <cx:maxColor>
              <a:schemeClr val="accent6">
                <a:lumMod val="50000"/>
              </a:schemeClr>
            </cx:maxColor>
          </cx:valueColors>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plotArea>
      <cx:plotAreaRegion>
        <cx:series layoutId="regionMap" uniqueId="{4F4B8413-A8C4-403A-95B1-221C927E409D}">
          <cx:tx>
            <cx:txData>
              <cx:f>_xlchart.v5.14</cx:f>
              <cx:v>Sum of Quantity</cx:v>
            </cx:txData>
          </cx:tx>
          <cx:spPr>
            <a:solidFill>
              <a:schemeClr val="tx1">
                <a:lumMod val="75000"/>
                <a:lumOff val="25000"/>
              </a:schemeClr>
            </a:solidFill>
          </cx:spPr>
          <cx:dataPt idx="18">
            <cx:spPr>
              <a:solidFill>
                <a:srgbClr val="0E2841">
                  <a:lumMod val="90000"/>
                  <a:lumOff val="10000"/>
                </a:srgbClr>
              </a:solidFill>
            </cx:spPr>
          </cx:dataPt>
          <cx:dataPt idx="36">
            <cx:spPr>
              <a:solidFill>
                <a:srgbClr val="0E2841">
                  <a:lumMod val="75000"/>
                  <a:lumOff val="25000"/>
                </a:srgbClr>
              </a:solidFill>
            </cx:spPr>
          </cx:dataPt>
          <cx:dataId val="0"/>
          <cx:layoutPr>
            <cx:geography cultureLanguage="en-US" cultureRegion="IN" attribution="Powered by Bing">
              <cx:geoCache provider="{E9337A44-BEBE-4D9F-B70C-5C5E7DAFC167}">
                <cx:binary>7H1pb9y40u5fCfL5yiOSIikenHmBkdSLdzvOJON8ETp2W9S+kFp//a22kzludTtHBqZx8TauZgaD
RCp2SQ9ZO4v/fuj+9ZCsV9WHLk0y9a+H7vePUuviX7/9ph7kOl2pkzR8qHKVP+mThzz9LX96Ch/W
vz1WqzbMgt+wiazfHuSq0uvu4//8G0YL1vlF/rDSYZ7d1uuq/7RWdaLVL+7tvfVh9ZiGmRcqXYUP
Gv3+0V0l4VNeZeHq4/Y9/PvHP5JVun5cfXDzOtP9xw/rTIe6/9wX698/bo2DP374bfxzO6x9SIB7
XT8CMeEntmnZ2GZEPF/844ckz4Iftw2E8Qnm2OIMRn751Stg5V0cPfOzenys1krBmz3/f3eArdeA
r/HHf/8KD5uvsQEgACx+//hnFur144c7vdJr9fFDqPLnz1X1br551T/vnr/Nb9sQ/s+/R38BX2v0
N69QHn/a/3ZrG8j/AjJMgFWzrlbqADDbJ0gwjDDn5vMFaG7DbJ4w2xSYWGwb53cxtR/p3SEmYL1L
dGRo/5EUYbY+CNRMEMoQtV5WtD2CGokTDhel3NqGejpH+3Ee0U8AeURxZAhfrh5hNR8AYXYCa5lQ
zOnLYkYjhLF5YjJi2RYS2whP52g/wiP6CQiPKI4MYafW+hBLWJxQBKLYfGsJY3RCqcUQwgD9a608
maH9+G6TT4B3m+DI0L1bPVRg62Q6P8Aatk8oBzltgdLdb3ehE0ts/oFpsLlGQL+Pt/1o7xljAuR7
qI4M9z/S1WNeHQRzAoa0iW1QvGPri3OMBTHFPrCnM7Qf6BH9BJBHFEcGsJsntVodAGBxgjc2NNhe
zzCaO1Y2PjFNmzBh0W25PZ2j/QiP6CcgPKI4MoQXyTrLDgIwxSZFAoOXtL2CMThYNuJglW0jO5mT
/cBuk0/AdZvgyGB1c/D3NwtX6UMsX/vERLYQhPD9nhPEQhBobMoR+FSvza738rUf672jTIB8L92R
IX8nVwfB3DLBDrMYsclbgRF8Qmxk2vZmyb/GfDpH+9Ee0U/AeURxZAh76+TDVQ5h1n9ebFvohFML
LKzN6t5cO0FOCxS3RSDIOZLe72JqP867Q0yAepfoyNCeJR+8vAI7+59Hm9gnHAtG8Y+ItoAgyLau
Nk9AwCMQ5Gyftf0u1vZjvjvEBMx3iY4M8zkkALJDAM5OOEGMUoRelvcY8E3E06bwDxqZ3dM52o/z
iH4CyCOKI0P4EuyzdbXuD7Co2QnjjHNi/tDTZLyo0QmjDDT5OFH1Hp72o7wzwgScd2iODOllnX7P
k0f9zyMNFhm3GbKsXR/LOkEMEROylS/rfNsgew9L+4HeGWEC0Ds0Rwb0aVqsq3CV/PNAEwxqGNvU
IuglWjJe0oieUJDqFEHMbHONQqDv4Ww/3jsjTMB7h+bY8M76w6ho28QQO+E/kpI7KnqToBaM2fbI
tT6dyM8bCL+mnoLu6+ePDNm7VbaJmlT1cIC1DClJbiHLROxFNI+TzhA6gbi3bZpi7Ea/i6v9KO95
swlY76E6MsTP19UhgqD0hPDn5OSLWN7I5S3/CsztTRwNEQx+9uuQyVR+9qO8RT0B363njw1ZKE07
RJkQOwHQoNzLom96UgzuQd55DO1Uht7Adot8CrhbBEeG7l2o4rDP639eTm8iYQRRCGb+DI6M1i7I
aQbFQxTqR7bX7nt42o/xzggTYN6hOTKkL1bxAeKdBAQwWNXchITy87UnDykQRczmI208lZ/9CG9R
T0B36/mjQ1ap9QG0L7jHFpT22QK/QGuOvSYo/mJw27LZSERfrKZy9Ba6W/ST8N2iODKEP6/lKj1A
GhIQBo+XmRS/Ec7clGQTMLYZepkDI794Ol/7cR7RT8B5RHFkON+F6+ogZZxQ5cdMAtGslwqvfSsZ
bpo2s1/KSUY4T+drP84j+gk4jyiODOeLXH34IwvWyfoQlrV1AgsaE/unZT12kJF9gi0C9WGgtjfX
COx3Mrcf8X2DTIB9H9mRYX+1Kg4gySETiQV4U+AuvSjrHV0NkhxUtQkG+ba1PZWf/ThvUU8AeOv5
I0P2clWFBzDDYN8UBLwoVOD/cKTG6xmUNCUIjDAxCmhOZmg/ttvkE8DdJjhCdIv8ILWc/AQ2UMAW
C/uHob0nyiWYxW0Mbtbztb2CN599KmdvI701wkSwt2iODO/ragUa+p+PixACuSioCLHZW5umYJ8k
hfJsNlbM0znaj/KIfgLGI4ojQ/hynT3mD+FB6kTECdrAy/kPdTxe0phAGRhnhGwKxF4Hrt/F1H6c
d4eYAPUu0dGhXT3All33ANuaickEA9/pRTjvqGcIo9hIgLW9d3vN5XoqX2+hvUU/CeotimPDOYdF
/c/DDOFsS5gCEhI/0o47ZflQ3mth2EaHRuHsy6kMvYHvFvkUeLcIjg7dg4hr8J5gk/LfS3inahfy
jBhyygIMsJG4zqfx8xa2r6gnQfvq+SND9mrdrA7SdgKgY5jbxPyxU2rHM0aQQ4ZtUta4XmA6R/vR
HdFPwHdEcWQI3ySrh/VhNjvCytzY1C9bGnejm4Aw39R+4RcNPVrD0/naj/OIfgLOI4qjw7mGXjf/
vAqGXKMgjEO1/Y9sBZjOW9UgkI+CZBToaDIqvr5JpnL0FsJb9JMQ3qI4MoTvQOsdIh8FUUyLCAaB
zLdKr6GQE0HtNcRLtvXwdI72Izyin4DwiOLIEP4UQnsgFT4eJgAibJMS8qOma7eoi0PVFzeh8Gck
qN/F1H6cd4eYAPUu0ZGhDfWJH5w19LQ6UD0uxZsmI28UekGHEcvEJtThjypE3sfVfrz3jDEB8D1U
R4l4la2qx8MEwGADBbQfQDb5URc0troRh4SVZYLdNhLkz1PxPYz9CvidcSaDv0P5v2AC/JrFrVff
9If74+eX39Pc7/29/SD0wZhAP0zwcbwTHGiGQK0jaBT1fP387ZcWf9CC7e+GhC/R0H087Uf6Ne3W
O7684q8/yv+6zn33eXIIIW3DnjfYMAH54bFNDWWcHEoFYDvUNmRTGdkP2hb1HtS2/gq6Um49f2SQ
brSNF66DQ+D6bC9zCpufRriC/EXQiwAE9A+1vI3uu3jaD/HuEFug7u+7uUt0hGDPIbX4EKqH/Oc3
3yPsoErjvd1VOex54bCr6e8gx7ZzjE8s6DBLbbJH4/7N0RSv/W24d4eZCPku4RHCfpavyvpQFSJQ
H2JhAPj5GhtbYGJjAVsthNhf3gcC6B3MvY3/eJCJ6I/Jjg37PFm9itu/ad+8e8lvshYQ9dxsVX++
xkbXZiecJaCkc8ezmszRG1hv00+BeZvi2BCGBXRRh+rD9fdQFYfQ4xSq9zCDNAXI+M21AzWU4kM8
Bdp07pHu72TtDczfeMcp4L9BeoSz4BIagh8C/+cSMc4hsv2i3XdC31DeiW2oObFGZvrGoJrM1NvI
bw8xEfNtouNDG/Y4O6vq++ogJfvWxlzbFHW+sTVj41ELGzZnQI/HPR414P4+9t7Efs8w0/DfQ3iU
c8BNDjMDIAwORfqwse6twiJ0AtY+gsz1KN31gv1ktn6F/PYgk3HfJjs21PUqC1Wyqg+R4+Swpc6E
3p7srf2UkMs2N9s3+KjYG86ieAdXb2C+O8YUyHepjg3xTfP1Q1QuQJkowRgOy/gh5MdRGnDc2MbG
36lNuZvM0RtIb9NPQXmb4sgQvq+/H2JXzqYMGEFbISgce752dkdDd33YGW1DM7GfsaCXgPhUfvaj
u0U9Adut548M2c+wKQcOMJoS2HpfxG3TPQxaWEDg5YcBtscm3wTUwUAb2eTvYGk/vuMBJkA8Jjk2
lGswwg5RrABtSoi52f38dmILi40ZRkcr+PNkjt7AeJt+CsTbFEeHMLTSTw9yjBFssLMhGQ1a9kVK
7wmuwN5phGy8g/F0nt5CeTTCJJxHNEeG9BeIkNYH8qk3m9yJ+VbX9U2Zt4A6UWaOjOt3sLQf5/EA
E2Aek/y/QPnt4+n+PunPW+nV7PmMwFcn1P367vMngrMNR6Q/9kHtSYb9tI1OH3//SCEC9io3thlj
awPV63KAl1D7f6jW0Nn9948GQlCdstkfb0IXbgrdemHAdv1yC0PcZVMpDl6YDeUMm3BaBq3C5e8f
LYimo80eAXNTwwANvmGOqLze3IL+klDPZsMWTejeDp6ZQH+f33iTJ32QZ39/kB9//pDV6U0eZlr9
/hHBbxQvjz2zalIB/TagZQ6DwD6BrA6498XD6tOmDxU8/X/0QPKirOvuKmuJmDWtLwsnJxGP3Zi3
zS0zaH8WdU0Wz0wz1vc6t5o/Y0t1paNEVn599fX2cQNmzJgbqNOBXl2wfwmOb9wYM6+5sbK+iIWs
mytcZugqiIfMd2qeM+l2jc6F07RWfc+bwgidKrV16ZZRFQeOPyhuuVC4nT0Krc1rGEPWHk4S9OdA
DRstekb9NeoN1M1/zTGGWtAdjqGFLzSuEZRDD1dzxHHIJWDb6yvS0SDwWDckfzaQKCFzzfucOk3f
ocgLuW87A2d96PSxSRZpU/XIq5pcP8pOKeSGRkE9BYdzNo5Opdk4vKJxMAvySN7EtThLlZDKA8tf
fFGyPI+TlnazUBnsMqxkky5+/Va7MEAJuwltTKF1PGTun1/61aTgvRG0RpGoq0z74kse2Ag7Voxh
ahRZ3d20XSXuCh8lf/36Zzdz7fVchG1rcAYFJ3DWDOw/x2TD1qufpWYXWIUKsqvMHtAVimV9lanK
DW1ffvn1L8Hy2fklAYWAHPoJgcNkj+ZZkVn9UFYyv7IL01qVbV4lC1/bPXbiQs7Msk4Gl5i9nbsR
oW363ybNZlJsvyhMFOgbasG5lND6d/zzkGQLZZCl4RUvY7pKo5qu4mTDAx1SNWNVnju9CdAv2qRs
sVPGOV/rRKjTVvTWRcdIZbqkjfLYjXiW/kmqAhNP2n2/Loym8ExjSLlLRW5VS0rYUDu//nqb/uJj
/vlGbEA4GM5QhVqebaBMVtOMUt+4RLWfrsJKq8BBRqwzyyF9nwVnrQzj74EtiotuKOWc5VYXuhg1
/EnzYcjdXgbctfKoWYcV4Y8NLSQ/+zWTFt0BmVgEJtHGY4JkBeVgUL2eTqyyQ7OSmlxGVln4wva0
kMOi0x0Rc93UtVt1pXnbpD2tHSkldyuULRSuikViFdiNkzL9VCQ07RyetMHXNkrz015p7RS0LP5k
KrY9v8x8t86jKHRCTaLW8SOVXbWFoa5LYyCzIEAicozBz1IXNzJdUqaTTzgKboI+I52T1Ly80n75
WePUIB5rMHzIsMcgG6x6GByztaOLRFL73jdr60wyG10MQdcItzWllcJpSH14athVnzptbw8eaqnh
DVH3UKhS39WmwaXTpprPfVXWp5aP8edSojZe+NxAoTPI2P8OQeGqccKsNL7VKU+9olD4NM6z4hSV
InkMm4LBuidpfBcKv+NOU1rBWeVXtdvDd1ggC4vrsk27mdVW5RyhDjWzBA6bCdymDezSbbD0Z6ki
lVcX4lr6RmB6COV6CaoGt25mRsyxNU/+6lJTnuNKFHeUaLqoRWTguWLpsLJZXs2U2UXDvIntYG50
nbnCKmmfVFAU1B2wNmsnC3ATzDsd5bA42nbWB01tz6vcl16iSbrM4FEHmh9UOXzotOFOpKLIcLnf
cofntBscSye+S7SRpYuKxbPAqnvztiXIgvOOKzNxIphJek50K9SiI7y7YPEwJP5t3ZY6TZ0+TPqs
epS+xHi4V63R8VQ6ogJRnj/gPo00qeDowbouzCsd6zTuzkRYDotG1No/TaswLJwIJ/mdyQ1yGvWE
1G4NGPhOX5qiA7hS2/Yy3wd9qJO4LWcsbgPTrRKN/GtZmozny7jnrfT6LhH6gilNYEa1fo5U69ag
C+fMkJF/3cDSYYFb2oUNE47EKp1nSVgJJylBefmzrgmZa/iQL6JO75uZBWcX+WnqSlG3/rxNeJLO
lA9WwZxmQTq49kBBYmY4tmo3lZWROI3qA3WjQiNNZ3kQ2k9G3fDQ9Mwc60Vo2bV9RQ0/8M8ywjWn
kZt1qhz6pYIWjpWcFYHk6cxXzVDORaWycN4nLO2XplJp4VLcJ6HLO9oniyosQ8MFWPFXo0gH5MFm
gDj14D/TuE4i01DwybPsa5SmIj0lldDJLJaafRpqTcg8MnKMzmUrFc8cLrHUC79qiuwOlDE5i4IB
x/O6AA5muU6CYWajbhCuHfVFe5naPUxtA5ZK5fkI1WcVoTTxAp8EtcezBuAMuQL7JBsiMqyTGPaj
eDYwkHqkT2V5iszQWgYhj5mL47gkXpiHvjfUfkwdo60KcRP5bWS5JCyjwUmLaDDOTT+x5qjwAwrs
Cl7MUC+H/FSGqA1msbBk62yec5AIRQbTJyCl27WhMTi6C41vFbSK7g0nhHWEr9CQhUPo2I1lkM99
0uL6ihWiz71MlPqS1hmopEDxGAhESuBr+aFE2f2AkkyelX2adHPV0iE8RzrQn60I0xXt/NR3bAST
d15nHSczxYYQmK9RlHoJKWPl2q0/C1FY3idtC5ZFFETNnaKs/V5Ukiwb3gb+zI6piZ3M9mEcmuRR
N8+qBl0NXUGsW6Up+oy0AU+0zFC2q1HPu1mD0yhcVh3G7WnGA4WvQ4OLL5lZbiZnFJVqwRMl1U3X
W9p2zbIFbGSbAWO5AqF7DhpMfCG2CbM7BSlZebDXvstPtRI+vomqOo4/YTsT1mlnRW19qTu9MT5l
393Q2GDdLG9T+Ok8H4bG6XCqh4UZ883Lb1hvQT4BX0WKriyawVvUJYVPJeM8HlwRN7B0iiSIw9us
4rDkqxqsggDugUzFOpPXJbL6KnNIIU2Au626+jI1ZKGc0KzLbt7BERNk1jcl3ggNWEwuvBEIkE6g
jZ2ss/SLD2fLnNlNGNqOLWkM86IP2KrNCLDRVVH/iejOVOcBmLnReV5kcXRng7ZYqMxEV6UIynvY
XMFKR1oyxGe5HYj63Jd50Hh9xcsWDNyeLAoMn9U1edk/xElMb7pamfmyNPsm/tqyNFDL1DfSp34Q
GxkSlon0wA+wySzEvVTzgqXiq2H66Txti6B0uAVirq9a+SnMtToXaRxRj+IKByD24HQkp5FYfKki
owlmCc5gmQyGT8SpleWoXKcgkPszOOAO1ka7kdiziBrwRbtmaGagZNryHFU1Zq4vEt2ApiWNCaZ3
GX2rRCM+Gz2Y6WeD0BV61CrrlZMixJvTsMUwVJciObhWG7DgtABYWteIBZsPedPoy67nyV3UqNKx
uVpaadfQ5dAyACc2kRoWRRLn+WXGOuvC0KaVz2SZpc150LeFdG2qUvkZLBH1aIoMxAiITtU4sVSt
ckTb2CVogb68S4IShX+hfCB24wxggfV/FpoYAgZTfjWT3IiDM8Mv2u8yMI3GTbhi8WkoTHTbKcMf
FlVdqnAWDjVM0hDriNx0cTLQq5QVSeKURWOySwtJq3N7sG7UrJUFoNbaWRg41cBTkB1KJTPUka7y
mgTb1WKwS5j9sdUF3Ov93lSuXyhWfm1pjz5HsoK5BppOfIG5nqqbTGQIBCwuRDS3U8lap6vvsV23
NnLiuOF/UpyVrdfSQFuXlp/YzafSV6IC5Q4zelaEBNAEx6HvLkKi4/yCV4UkN7gzE3bqd7mA9+o6
I7iMK6NovVT5IDPAGqv1ZZL4wH8l4mCupB1Lr+1M87QvLVj3PWM8dCxf8stnq/RH7OLmxch/ccAf
8qKvwkDq0R//53Oewr//3tD8/cxzmOI/f7oMH6pc5U/6l08t1vkmg6PGD22NDL/+g7tN+GLrDzuh
lDeCJZ/Wqk70GzffjqRAAuo/QRHoTUOoaYL7/Hep8W44BWKNarWf6mc4BbKUHCpL4cBCiBKAlQJG
/9/hFChAhwJEG5pbUYivbg49+xFOgd280FgUboG8ps+Vy/8Jp9gnm6NNofU7zHrY8Qtni/980S00
IYT048+vwymYw49suUYUdhMiOKKcQ4wXyiE3HfBeOx1d6wegCnzrOh4K3p8OLE/J90YS7V+DmCFp
emmAWbu0fZ64Ri3veiuwnJhZhZfh2nSQz0IHvL54VgtteYqm5tJs48izO1K5dZOvUD8Ebk3D1VCq
zksJhAUqxc6TNAAp70c3UQlrK/D1rEiV5TQ2rG+7H8xlKJjy4hr5YALHjdMaaTOTlU48yfR5nRXC
QTz82iB2G5JswZK0cvPOy5phEZa6dRozNZ04ym+HoP2Ss/xUWYo6YZKD6aKNwBUgcZywGlYiqm4Z
K004YQYzRyT4Bps6uaytIZ+DUs887Cc52NPlE/GDVR3V2k0NPtP9uu0w9cCnmDUGCbwkzS47bH0t
sqBwlN0WS0uBF1WRtnDjAkmH5AbEVGxRuajpzskQRjNcDeva9ud13pwj0S4QBwOlyBeKqFkFZj+O
UAOWcxG7VUPWWoCT1/qDI0wHD+Qi64flQMEZqAO/ciTXbpOGn+06ybwkKZYpxGO6PPqcCMPTOrst
KvNcGrULUgR0EU1vG4C0Ti2IH3RhlS20gey5zYozRNPvmZKJC1GgC7MRF2AZZq6V+Bk7swmublFn
Fv63qEoCPFMkD7JbY9B9sUhR1juBGZt/9UMkcoc18QOmZN7JqgVxXT8IJedwaFzgtjbcDut2XVpI
uZHqhJM23VL38srKfHtmtF0/L7V8ag1WOZHd3zNTfNZDd4sa9A3iB2dmPtyHTSRcRhWZ8cB6DHF3
1ppB/y2RZQzubQEeO8lcuwFvkZrlMqLVLajNJa9s4wL82M99CK9VJHXpBIF97XcqdG05PFmUerXU
sUNjJmaa9eZy4E8oyi0wAvWXRoMFkBYW9hKwSONAkAU1QnAwwVUvEPUqiJW5Ri4fgrgc3KTuh7nd
RoUb9cECG+o+bPNlDsvGzeysc8AidwquhpkOssJBoO261vJduzJuet/4q9LmGSsI8iIc/Ul9GYA9
j7mj/N6B1eyB/lomPOYu0/lZRlXrSPA26tKmjmTxk5L6ukitVaP8C5YMkRP30RVEes4LIhuH5eI8
A9fIwYQ0bgSmSSVD6US6aRdlB2pPS4IcLKCAO7bvB57P0oSemiq4JzEp7gaDSceQNgQFMP2TG/Ku
w4ZjivavUlrhaSHF6dCV535gF+d+rv5inb+AYNqdwdipJPa1IdStNNm6sIarNK2WcQ5zc2D94BUo
qz2ILHxqmnwRgzEW1OGiiqSYxZ3IHFg97Jtq1KnEUf3JtxsJwYBknnbtOdMqnh1EAf5vU22bBmy/
Um1/JKCoH3d02wvZK91mbXp72eCt2nBuJ4TdXuk2UFHQUpkQbBKE4dZP3QYZRai8h13sFug4yDLA
rZ+pAqjkhXOooOgDOjqKZ434Dt0GluyOboNcBIPSXw7eNHThH0VN7S4oRW3L+joCaXBmJ8K6rLLu
3M6S0qV19YWlqVdGOl5mOU+GtcxVadzWfQ/hiwFkAeqSWyGLzNFxf6sD6yxXaT4vExU6aOgh5B0j
YxEmjeVYhZwHcSNPIa5iukHhWw5YvoF0RVNm85SDkLnrg+JeyD53DGjj4XBwbiO3wMo6azpjOKNF
1knf7e0+PKuT2Ouxbyy1UT0FIhsg2m76ix7lEPdDsThN6qD5UkDm/RyHLL60SQZhrfCuqIksZnba
m/MC2aHXVIbp8UZkXk4GAjohxA5mAixhJM5jXulZGSCXaqzntCuubApCoSG5mDfJ0DmGr0EZyaxd
Vq26QkoJV2flfdUGFz1qZ9LsPazwpWkF5+2gpaOjonZCsPJBXNtuW6t6loHN4wS+oWfwY8GT3+bs
G2iGxp+XtJQOhPsgEiMVWoqq/iRjcmdHZlafFkwa+jZEWbmEgJ2blZItS9qr7I5pU4Cmq33eOIT7
1oKgtokc6tOn2K/b081pHos6i2NvSLObPlJXYKicZYm8Kk18bmtjnqv2zEiZlw9gRZeZY0aDS8Pi
sc3wp1CL+/8vPJ7tYgsyBG/bxVv11bvm8Yb4pwiBrLKJYQ8tAeuTbzz+VyIEtm1wWLYgIWB71uts
I6EnCEG1PyQcBaRfTAsW/k8RQk4shiFHDUWg4NzDsO8xj3eTZXBWGuwdsDi0DBfQkXLbOCYSGa3u
U+tKpt8GddV1L/MDHKX95reFxpkVeAnIqoARBAUUAtqsjURU7StL+7SrryDYOcO4eOoL6yrxo0+0
0k/gxntVVIVeapHSQ0Z2irlYgrc/q3lROMxg+SJvySLj1dJQ5ueolnNLFY9GArFyLC5qWnWu0jFE
OmRyDZYTjS9Io0tyDa5sDq5r2IC5holLZZn2c5L3g3Jak552UvlPLTUvCQEf1+t1yD3LCpPHEkOk
J4Z42sxS2HYqMzD+ihIj9URsPdSyS+ca8cC1Ysj5gUGbOwGyr3nBjVliV3+JKiAzSNOAyWNZ7U3U
tcghONdzVJHIgWDReVOF32KML6CHuydE2l+0QVMukyxfZpkevAoyDz5NFmA8X9oyIM4wZN8Ms6UO
srqnNDaudQeGpUqHYV5bthcU+o5HqWOYxSkpxbfYNCCqXp/pwsxBA/S3XWyfRUOXOcFQeUjHZyXn
Kx81raN5tAzAcq7jcKUhluxAxtaBnM4yCaJrA1JCNGs96eN7iJeeiZov05JeWFkJBiBuLhMyeCwl
s6ool6wvuZNb4ksUDno5xMlN5eexowZ5rkPzviixdnsjOrMM67NOULyx7WOHDNYdODa5K1UnZ7Ud
nvZJGTo0ohSSNmxhlqFychZ/qy0xa83KBSw2hpBu5pCqO+uGyhVW89XKidtKesUUu1d6uI5D65NM
/cyBRNiCW80lBOZO8749Dbroq2z6wElFu0ya9kLi5I6hPAXBnnzFmfqCfP6V+fU8r8ANGCgkNapv
zNKFU2mxMIi6z+HlIWvQLYx+eIwTPuu5dCufeiTuLoo2sh2I7haO1WcwqK0gRct9J2D8G6yCeRRG
94HvR06ndDQ36hqmTfnU59HS1tHMIsW3ujLvDcO8Uxx0TOxHXtMJ16TJ9yH2b+MUDY7sg4sYEuwL
FBSxYxn8s4TYd1nU0g3CIHLMNP0uEARRjEI2M3vg9NLuVHYWhmzwjAI1HmV3kbD+qiGrOzcgnuWA
7wWrJ2rvTBSdG3VhOxAuLD1adpVjIPqps8GXrPs6OW/A8XEg1almIikaB1uhP2sVuwo0ZrOQsi8m
swNPlL79HWL64MsiynOnKVgN67tqfOWmvQF2fRQ24VVXheyiLJjpCfgUDokLcNkM0GtRkkvPkryC
VJxhzvRgKQeS3vGn3GZYQ9QajHtGIVwKqWFdVudad9cFJKlPIQ9uQeYkixyES7Wkth3NgrC+YCho
HBUX2QINdOFDsmA2dBg5tZUUkEIoc+ykYXLNEzOJ3cRQt0MDb+z7xQMd+i+VT1Y8Bj1N0GUkUeoK
ZBhenxgXfowhOpAgCsEC2oETm6d3Oa0NWKrcT77WcfapbarWxZhdWxDgBcniVpHlEY5qD2K557zk
IBARMM3b26wmgVvwApzo/iwo/SUE5mdRAxbUoC+SyFhIKi/NxPwaV41LavOsFX6yyLr4mxX51FGh
BpfTZxD3NzvHt0L+vWgN7A4Qk4CwGWQDP8cobedNSBaE56ELUTrblfYQz4YwrC4HO74iuFjG4LOg
kik3Ucrp0jpzhpZ6IPJOMfLrWUBYdZr0zZ/MKD6nOAXv2qkTT1W1nPWtTgXInBp8VJZ/yyxtgPw1
nkolzf/L3pct141jW/5K/wArCM58bHA489HRLOuFIdsywAEER5Dg19/FzMosWXZJUXH7pSPqIR3p
sGVOIPbea2Ksx66iOJwTd43nXEm76nSkS19tVcHVpnaE3mDr549ZiyNYY3VXCzuPIc0M96Puin1V
sHMduh4QUzvYjZA+UEf6d24LUp46hQNI3+rbWDtZlgJIv/MyfRfU7vIEpjfHkCr71B0Zof40p4MO
jE1jqnojdSujCj9IO+WOT11eBemMDhVjbQ7ODtDBsHVUjUc8NakdCOCQQn7xVLOrpzydfZ2Mvbwy
tb8vW31v8iJROQgI2fD7sbKAVLThAUio2kmj6GKZVTpqRpDSjWl+AZVvx/bstE+j15C4kWIBnoyF
7udjg+bUfrLmcLjNLHdOg9EIo2I09Z+z378tz5hE3mBjwTqkQG6BViNESgQ+bf5ONmAJgZQIVtQg
P4sYfOsOnM/11PWfySt+f5z1Mwa+jc/C/dIEQGMAsIbXZ1FVp96z7rErXQIhnrFddiDKQzwAXW3V
3KRVUG57ix+5smhg1QfsVEc362kRltc8G28AZCU2B6MSDuCXs1c5egqMqEudJTh7JsPE93df9xv8
8LdnjtBBZNc4UGaY79BDV4wSXXMJCYFglOk7swDnKo8fH2T9VMPPzwFJSMi+s/ChNNwjLPSf27B+
LBstSqiswLL2mJ+cnS2xMZhZi7qhlJtkhnqC/kde1yHWYGjupmByqNQNNirbvF4KkXJjGa9Hboe3
NaoSALezYZIKb8mEUm6BhnElO+cAcubMxT238N54YqqoDt3lxiXVSzlUEalYvlmmlmY98RJe5WVS
DvY3o7MwQUFggF3JoxoxyJFs7Q3Ig5KiFKG14d6uXazX3PFfZkx/o2vmdPark14wyfjQL21NMhUn
kzeCLvPI0TcNeczDwo9Jzh6ykYi7FqRCHBJ2dEXjQmfQDFsPg5iSKHGksamGCC5pTOvKNf06npd5
ZcqrY2a+jE46uv4O++KXwKgE3nKy1YXzpVqZ67qpF9oAZbMxLS4OWg8MomXss1HGsyG23SBc0Ejz
fjTVS5lb/Juu3I3ptSL2K36y5FJRu2/T3O5DOlrzjfC86hyOBGjWMh9av/+Tkvi3byX57XrACxms
yDniadf8lreYdWaDwsafDWefWC922It4aVR19oy2p9hPn1nvlhQIZkS8OQ7yqoNCsDrhriwgP0t/
a7H+NIBgnhbr5MrgyXZqnvbCbdNxNJ2dcK2RsrwUQKNVkJjSEVvAYE08gQOOAc2hH8FGZApZR7nb
3jKRzxHhvUQ1GHs6NC2tmzaFEASkifcSQmYZKSKh1xHWvWdp9M6axfZAYg+IA6BYo6Td5D0Vgbeb
Muu7588lbSZsA0ArvXq+y8Li6ANVbKV967kaK6Sho7ZuXaVOZcFv29y9EX648fTwFJQlRE21NBOv
HdELtirpx0mtFB0g6MKIzcxC5fCMFwNrImpC+wuxjSfCVRu3UFeChDNTtRgAAGaZEKfbmGaxC2uV
WBIKFK5ipwTGEQTTwe8K3BLVo8wDdKyGO0Dd5zCYd73UL/ZkfmtthL34XuJqnOdYx6UqrySfj37t
pZN0Yu4DA8lrP7LC/LpsjHIHTVACajvxqgwYKxoa6THMJXgZlRFeA135kftGRn1tRs5YpMMwlpHX
g5FlQ4SYJghI7E1ut3hKhInEYUs0rR1qOfKjQbKkJNOjlANlRn5xuUMZl6lVGgeBKs4ntg1I9UU1
fdpCAgFK1oHuB1WzyqZ0QHmvO9HEo9EWcVUam2IKDktRUj8E3zkRNkW9iU13sUhakIC6U3DJArJl
9XBgU3usAxdd71BB49GAG9CVv3fYdGisAliUhOzJbnIClVSx5VBqGD2mhMqDmg9qlNGvo2y6eG7i
lxP6mLOYU0+n0tkCB3lsTIMGwjx5btclc+YcCw7SVWVZdhgt5Ue9S0jkF1m9mRSwVfQNW6mHHpSh
v+0UuhBfDlCMZSpRWUc+KW2/27nfvKn2Ov6+UUhaPNRF2JSQaaDuq/4k6hnKWEGz6arsTgQTy8el
4mfEDxUbleLt8d6N0xbnNaYL7AxSvhLo9Oablb5gT5Oz/fhAqwz6l5qEb/CC1QNojU8QrZXxzZVN
/aDawlTzeSGagded+yjPrDu3ZxA7SANrblaHpslNKolJTsGKyXuFNDBMLGYy4d+NemL8gNL6eq7t
AMDb+GDk8kqa/m2F9g1TTzT01u3MwJrVA0vFkD/XhfNo8Kq5YWOpEpdD/CPc8eAWJkVjkWhiThFa
vE092P4jFMC3zVLFQFL2oz3scts6LEzvXKjaICQ5dCjbINwPpQVyZzRWLD8Cg/Eomi7Jq2w3NYQW
1RzQwRUvi6ndCKrCL+0cdo/WytdZvc0+uas/4y1/Pr63N9X7+aaCVqzzLgvmczA/8+WrDj7TWH7y
0N4VDtOo0COzUp/z4LYpQtra958si48P8F4PLjxRmqXF9Nm1LrlDKG6TyXX08UHWu/AvNe5fdwkf
yUFLiswq793Sm/0e6i8HVwE+0Bq+DZNAT3Kfz/4nT2ONR3lzIBdaexcwPRyaAL/Qmv4hq32zxnWR
1xNbGrBclHxDUYvvqjSLjQTqy+iR1vRx50Xq+PUmj/jDnLxUif6KN7rf2ruPL3i1Er05kV9e6z9O
9M2JhCoPm5BhGxlSFZuRmcy340Zc8zRMwqjqUrLBfU5J1FGT8iSMG5U45/rbx2fh/u4s3q7Od3Lv
KuvB+HW470/zzkp8OqThxadXYK15vHl0o6MXi0145um8rW/d7V0Ws828xb5Hlw28AH0M6CwOY5CP
W+h2rzjlM2Xxg6Tj2Yz0xt2FO3kA3H4v0tuPT93+7MV610EbVp9XMCFgXVJJm7R/bdLmjsRtVMRZ
zOM8AUuxl5vLt2My7twIA3uxL2i4L84sQvGBbpN+z6KHj8/qD6/Brwv57z3Ue1cdcrgHOt/DWfFd
SHm0bMUmu6tB20cQlHsUmrJI02oTnNut9QwgLfn4+Ot78uvh//UevdttsNUYum/0fDYXmfjTdFiM
8qxGU35SlNZd5aPjvNt1gjywlVoqfUZPDUfIN3PeTt5XbSetOQCKSj++qt8/6r+v6v0waQhs/m5b
jGful5j8bhp2/b87wLuZz56DyvMEBqjSPVgFcMDQjz8+wicP5r0Q3hBNUPsaL5pszr0o08Z6Wsbg
k6fy2X16t4v2pOoL5RfDeV6fylJF4VxE/7vreLfARrn0Y90LfZ7UHOXeGQLqaBGXjw/yyery3+1K
XsYMDXAO1WD2Iiesk7IarlYltq+hrJiss2L5J7fut88HX/vBB7xgGAxX+uVt7xOA+c2afBjPjvjR
FWlpc4B8m48v67eP580x3r00FQt7A0KC+ewWDvD7ayE+QRU+O8C7LXEpxWwXslVnE5s2wOjSrj65
Te9sJ78W6rWgvClbkDgHEA9hHWM2oG3E9mpbnjAiRPsu4gm7Gqk4fHzXVjnZh3vNetVvDkmA/5HB
4qhRTwCGa+yqJ4Zj0+kFRoydopclggK3pm4iIkKDa4PeDMla1S9f2ou9x9QOBUiiB7qtI7757PR+
W8ihFfi7dXm/cvJuMkmGl45crYXcoD28K7uaRLTcOPFjTfcm1Ycf5lcMZ929Pkx0+mT3WlV1H96h
d89dGb3H21Cjl4hVvMR6ASdOw0MV34Rn72hvxviLlWa0BmKbdptmE0TGJzv0Z6fgv6t7xjwaTj01
w9k4SApN3EKL725KYv8wvs7bJhFHf2NsjB9Q2kTzprxicfH6yTpZD/FBTfLfrZNS2QLyNCzNLp3T
lhKar13drozu1G7e7fK1aTkPgj6aqYxF2mz8y0jhiEmgcaD8ufpkp/xDivHL+fzrdXff3ZLACMEN
wfp8bhNn40HOF8/pki5HSPXpN7bL0jIKdpDUUXmcI/8+CdAd1MmwKdPbPF6bhH82B/+vha//v+l+
IGlFFfob4v1F0hq/Vv/nDE8v1tMvWlj84F+0PT7R6EIyakLo/qf45w1t76x5qpDqA7FF4p6DEfyN
Sdg0oXj9I057Jef/pu3xBTnYFJDhZ3me7foOXpn/QPnzc31CpCcSJzC1QJsE0Y/jrIGQbzdBYDVF
Xy21danlvDXL/OizMrLVZ/QAUiZ/fovg6IAZ0zFDMASAp38B7uEMK92Al9PFdaHcG2BEcBJ3Gfci
B8koLVbCFeMbIJblFXacY1s2974FnLjphzma4K9Kyo6UYL3dMIbwBiZJUO3UcBu4NKbuaeqbJhIB
h+TFbjIwwdVtgwNGVlNdpJlDCufXULS3FvAu+Aki2xcOFUtwaMUchQVI4RrS/Rgz79a2yzrNPJXC
UT3E4xKSuC9nSA8BKAT+KXTGkOIyn7hTyUjN7i2cijeGmM+G4Z5BUytY+/KCwle8g9PgPGWCJSIk
95D3VdRkSsXWKh4c1XANw0IK2/NjGHSvFvOfmdBfukWAswWQFcMAeHG77OBBjJ9i+Nx6YdZtekDl
kd1198D7tnngsKji/IDW42s98TJVwmzggdOgquTcxMbIJK0cWadkWJ6JECpanOLKCbo0ADiNntqO
25Ua98l917OTBFUHGEbf+O24QR74Fg4Igw4KLrLJsXMKab4Tccu9NXRTRWIA9+eHz+EgEtOe47Hl
MI+PTkmxtGOUNqCmfbEp/fFHoEEfmp57MtQIaWQt6riFwJj4+mxNsLJozIYTJ3lakuoC50iR2va0
WYRzYixjdCDOJlS4t3wqoaX0XBU3UCnUsF6EGpRuvejYXvqH3CNLxOAioPZQ3fbTuIOSQ8WdbX5D
4wfiZdIPVZ678PgtV9Zce7TnhYLhoftOKuu7NVUQDs9kK6twh6hkAhXxtBGley1gCZ1hVz/69lJH
XlV/W4rmifuAzoUn76DfLWKn9cvtNNob3wdba2dpUDvwM2CJcTo7E4eZgrcvdSFZly6BMejI9UCO
E3MuIS/RVgcHDTwxdWz6U0qCCeK5tpv3VeX21NIkMjOy6xz7+2SGu9wlwJ5lN8N13qiH0rXzEldH
TNAz+SrLnUkel4W1sxtnS1R5HkyW6KB9gQr9hpTGK77yXtIWLK3EarzTlroDfjbAUzTFcirJzhCu
SOpJHYMOom4DLK6bl3WkepWvqrrpi1f4fTKz5sRyM4v6ZobyfTUQ9cemKGM19NtpGlbWFEKFsIhU
YcJnJU+lh1fWrssLtLCHyjB2S4UOhjPOwaZrAZYq/+5NcL0WU2HDMkJu4OjbzHJ4LaFPj9AQ0Npr
nqYuEXf+jjsdrF3GFhDty1yYz4ury8ivYOfR1XPl3Kqp32owyY1ktDKgj667yEpNE4SRM1AOEH+y
na2y7LQjHDprsCOgtYshNUmJ+6kc0M8E9jo5xZnRddSZms1I6istpy+dLODQ0s4DcgmCU2PAQXoH
33PEAqfLttIS0P68KTCXP4v8Tx6Ed70IdtGVx4eA24XUyyRwNPy0Xfd9bzuZ9vRl0pFPnU22n2/l
aVdgOH6pH5uk3NlRRrMDNNRjXGw+Q5fWKexN6/Hn4UN8bxg8puV671uPLhtdZXjjclH+S5PtQgzl
4fxsQPny8XX+7jgImTdBSq0JGua73jccULNyGLkuJD8iRIFW1WvIditj9PFxfq5+2INwO3E/UQMB
LENa925yaluncUfCTRAGh867amyJ9fv48TFWyd4vN+3txbw7yMhNs7fK9aal/QOPykRtze9BHCCM
4ySwxuhNl3RUpNb2/hzEFT2rU54+9EmWXBf7iW67uDsOMf5iLFP8lzx8fH7WejPfP9RV84u0SHwR
DzkmP6+pCmZ0mBFMcnEpO2fXZmKeyCPbw79tRCMaxv0Xspmjc5tOW7Bz4gD+5brB+U70n63tfxtJ
E2vi3zeS/7dq8vp3XSR+6q8uEuJPgH+2B90AvkEKnfibLtLEZylBjLooR2ugDPaEv/TjMEDBuotP
ltoQKSEHBk3ZX+LP4B/2KhJY1Rr/7D3/gy4SUPpPiwj4d2BBbIATxLvkIFhkbf/eDNOs86eisIPq
yiDtF5bDVbSM1Vei3V1FRE0Lb4mg7Ul8MHum8tPFZsdQt+cpgBgim0S7E3kLBRAzos4frZS5ZmqC
wp1yZSWBL8dIMX00hyz2DAnrNcwleWA1UUWqI3fbKlIG7B1l/yI8cPkjcb6Duu2jxhAsYu58mAP1
HQapNgpKiLGhxE88raCv0vWSmKNRwYrizvCIwLHkj+EYOdr0okHWOq2lvlgaBdVi1WGcXYgH2PBk
I2oihmv0uzS9PRrfJm5nmFKY6ksqmE1djmSO2g8v6B4fVbYwKL1Rnzk38Nb4A37rFXm0sAaSMcHA
0mY7mw2p9mVG21VoZU3zw8LZafDrQ5M1B45rgkojx0ZhWTdTjgLLQNuWtXXKiHWX6Qp4P4LPKLRA
yJnpFaIsSpioHMfeChvdYBY0j4HbGZFnajayyFVtzm4Hq2ieYZZ+0IszHaA0xB44AGggkHMUbfc8
Mzhi63IjmsmjzuhKFEDo8kc7syjPghNn1oPd9jYd8+kKahMvKbHTxZa7sGQJoVVjXYjxXI43tsG/
u1UmN+DTIgK79QF8/zC/wJOeOo330mtbbqBb3MBHyCAGnYR8CAmvbwHYNeVrzpbv08xvFtuERH5s
QLCXHQ+Cl44U5wyz1c4canM7D5a8srosvHJE1u91mAHnAx09+d526DR0jdwEBeOE+mwXC3yguRTT
BpEWjxM0qn4u+Mme5StsrtbWlGxVE3kwOv1Zdv67z63j4wf7nHj5LrvfTMv4qb/2OXx7FZuZY7kB
BtvAJegM/vbJILIY+ncPW807m0zwD3xQ20S+4hqSCZIZm9O/tjmLoE9HGhDU8Z6PL3L/B9sc9tn3
2xzyhEIM38Bz0S3gU2U/b3OycZfS1Vl/ZVb2XSn7W6t3D4CHrssZ2qVJOXzPTMSyEGdbaF3Eoiyz
NFPeFA3zmFGzbVooMibINrVxYzrLEvHGJxTKCwwiC7kezBZa3xD/Vu1LnlRFQ3Yh6yza8Oq289FK
L7UMKJHzyWjBvogadrkJOtPImN0s9iHFTioFc1k3TO0ZU9adDwvNyVdLfSysP0QiFjx8GV4xq/I3
Tg+LS6DkFHmcM7p09R2vA/hfwCtQs+t3LeRTWTCwpC+R5uA74hWZPw/ISzFWK9tW2satsZQgb9v+
tCwwhy8u+4o8tIK20IxHnZwgBdkV5EiY/V3xl86OhpBtpcxYPKkR+UfLWOCOlFVcV3MZW0vfJI0u
XqYF2/w8dN/HYdqToZng5MQFQfy767vgog0IXHWdGMtxHMh+doJnt/B20gQCHmrMnpApHjvWXXIx
z9RRa7M1k6vSg3iUmWNCAtD/YP4hQWKs3/mdY8IpKG4sNjnXocG/zVZ93dcBQhAqG+5OwklqrQLf
3lckhXZ1TJpMAg4uIezJSojzOzM4Wjnf6TF3qNvxuAjqm7nsseUsI0laG7FNQQ/DlBciT8dDiELC
2kHdssFEy07CR2bIgsq82bRmse9L/84JlxdisHojdEkHbHuF4mEsLQ7FE9RoMAY028lUVuQN7d4m
uJalazehLYqozEhtXhpnqG8xk+HAXY9yIK8Wp/uWQ8a3s5RxwQJ/CWUuaVdABc9L8tS16tQhByY2
AgfBZpP9Ok/jq/K1ToHCNBCMBdkW0SxfBV5RKnEqUQlXVZpP460LpdhBBOZeFcWXZgkPS4tJ3JUc
tgvj2GoNp68ZmOnAMkJlmU206/vzUCx4fdQdZ9nXlvvBtrYRhlMY4jZbQJXM1vjY2v6ubAcojly5
h2upQhn0RBr09c5j7n3HTb5XAwb5slhu8W9Ox1a5CnOslHCKegB21hwU1SHQhoTrw5ttHZle5sUk
cx57WXSRWiAc7/u63vfWCNWN4fsQyOctrfpqiJa5l0/MzNi25ry7FJ4b0gkmk7nWBHpa8RBY8Iuy
AWS2KgjtLZnjATV1klXFiBiMMsfbPli7PpecysLjsD2MO3MJzF0b8J1PIL/2cC609Wx4Vde3NEB8
Ql8MC5VtvXUGGHINLy7kMiCmCGKXpjII3jRniBCTAgAAIvc4ZH08OARBN/gfw3EvBQup7NU9mYuD
2417aYP3crpb5auRLr3YcCOD9E/AJF2X5Kzm8T6Xbk0rzS/CGa9LmMGDcj7BIfLUZ7C8lojpo0IW
D4iy2juzudV9fzcEnknbEUy0KaUNT/h8LPs28c1OpkIHwC26+ZR19nVZ6yqBiyXxrWZvjdCD636E
gTh7zhm5Ql7YGfFml7bw0aOp/msGpw8dy+Wp4ugunDYIEmS5PPfCR8aDzuChs5o7yZ3DbDQyURVW
DfLsdPlgj4W7zR2vtjfw8FsJl0hicnMZ/1G5/lvCV13yvy/hyFP6Ld6NH/q7gqNMw5WKGERzzaT3
3lZwC3+EwgnlmY9chlWM+hfebf4DxRuf7A7/LNOrfvyvEr6Gqbo+JhsXEhsCIPM/KuHI0Hw77mJS
WYMIPURsInTbcRDS93MJV83cI9iK21f97Jh4udVu0g4sY4Vto9lrU2lD0toN+tGHuSjumfOts4Pj
gLUVu2t2TQHh4Gbo4EiapElrs0bqg9nRYGnGeO4V/CgIYwDsJ6HMGL/qsP7CcyBvoropnWJT62EP
bOWmbVDji1aPNGysHjZT61gDZoTc0r/vyxBeglDAATVl94ssHl1EZmG/XebIm8WVy+wrMnlJ2Mq9
X7W70l3s3QJJYgQ3QxApPm8Qr5lYQfMDbtubcWLuHgL3DTJNvga5pmG/PMzw59LSEhZcZQC6PAd4
7AqcmzNmLb/hDxMZn6HLA9hb8q01ypo2Paw0gtsd4OABct7GPpei3VelY9Op6360ihM6GxI7ZhVc
5aJDZ8Laq8JVzX4WA6JgclR9X8DQVfIOsRImy869J1csblw82jrLj8ACUqkc/9uS4+Y2meDXFoJm
KO+7Vw5H66mQ1c4NDWwCVqM3vO6Dqz6fRQLEFU9tBJLYsYFFYKwnhE/VEMMWxNvkClOhB2fG1pl9
dm0ym2yWpmC0ZXmFJsoGIjnBgpcLmyWmrgqQAHOVGHluQZq+BkYuUAp7M+KJsM1tRZaRmMwaw4rT
56mDiIfUmewq6cRgbQYJJWptF0e4cg/LUFyVNdkNmi1xLoIf2VJ4tAD7kBh9bsPOoosEdjG9KUdW
JWbB4e9xiIYNuA03Q+FhVIRcfhNavcJk2SEBEvFaNxhogs3YuDxBDHGxNc0si5WqbNrbtnFdgfAB
uYErbWfPo7lnemnAjAHBClNAtWRNYiC0Cyk8Zb53UTI3zFoh4P4CUXedcCPQVA7NV7l6d3LuISiu
DZ19E2IrZmQNOl3WW5Rb9fPUu8V9DfoeOHpYA2pFqqs1r5xDVpMrMD5I4WoWxIfgvlO7M8ZtMGHs
4pODJtgf8++lyH1Yi/0sUUxA2w9H2+hWSZbVqLLIKoLJrgaY79iCoikZqQExMaw/ooo8VXjXC5mv
ixlmjkmUSY8QEPAeVnVGxuGwhXvnx1AvXweieDo0ZKRVWHWnHJFGkT17cdW13s7TExIfDF9tgqx2
bixjfMhDOUD8PYyIYeDWTMD4js23CWflQ/YEXXxRIbWEtxuoxO5geyVI7WBeZKpwXyMYJZkmTWio
RsDkvQZvhC4f+XJJXtfG3nAQ12Lb9wrlPYLt/U60xd4v6svk95Fh+Kfefc586zBKTz2hLX6dvOE4
OwZAb0y6cTCN03Hs/XobhkOBUJYV9C/No4Wj8YYflHJ+tIh/i8gCFT8EBFSF/sMCHoLmxQJ9ai++
9z4iPZH4t5OFvkZKMryvOeImubLjWgSIkcgJIs4Ud+NZy5mqHN1Qh79e9wBc/N52U63xCEkrrkaD
3VZz9mzK8UvjYHsIzEbFftkd8om8zKXnYXCAHU31kqVkJLDe24g8dbpEFdCR+AsR6LHUCRkwjyPg
5tg3nEs4+wGVwq93gevibw5mgU6gUlEzyMNYmFskRYGHcLK0MGV7lYcDnIBIA4QKP4yHuXvtM2jw
XJXHGbe8L3C7CzeR9XyqoQCVjg9/n/uEgCh3lwvIdrvlK2ItEd4IAhQXXaXcQuAkPJJx5flnXmCX
CaFFtmDAK0MDNkRJtkbrbTW8jYUFos/IV9OdOML9hU4+r74OQbj1a/sMP8vGcNoNgwEMzzSaK4Lf
uy88yPOoz8cffe5fkAI7wJiid8MaLzOu0UFOeY2gPQO1YLXJ6AMfqmsBfy0BT1MhqYZ79dZfo2tG
ZNhU8Osh5ayjddb7VCDnBlL6Y15FgdnPCHK2Iky5r9mIuBnUMUNv+sDqA8xFZRUxr74xc2jh/9sb
mX9EXAF1/fe9ERLDX9Rr99L/BuHAD/7dHwHhWD/Tg+AO28Qv6E/+RjjMf+DTqgAxQuIBzFhB1H8h
ua6JHzI9ALz2z0iu/w8AwsA3gAuvSeMQLfwnEMc7WdSK5CIuK0RJQPSIBZPA2j+9QXJrFqCQqABm
RLNiW8RNbTgDkNjZ02H0lUZchdUf59GSG9tc0GTP4wVae5TIWnztHEvGvdFvMUS4SWjDmskmz6aF
w9sIxRnqHWOyYj4E8FK0q5N4msWlZeEjd+HCVp0NFY+5HBANeexcZxvIECXX4JtWN49ZwGQEs+lp
6TQwQFmqLZw0eyYK8OWOu1+CXFDm+CfPcu6Zi4iNIQ+uw8kv47rLAa10L/j4PFKOXPaghAsnCpKa
kU3qq6hUy8mr/cc5Q4Qlse2nsJKPHlwJYUmOk1/dGa44DQiqipBWeF93GTYbgtTZDM6exbmp6yIl
zPhiwdzEWpYCxYFloWuOjS+frMA721wUlLvzBnKBmmJRvAwVZqN6rsBl+0MCUzWnyFCpYrubYYvL
Wp0EQT0mSikND7u46pCgBZeivZXcgh9uGs9ThTmOLRPZuOWQFl4LtAEuX7ckdWRYy8XOvG/W0NyV
o04RuSeozerL7Hip5mKXI8GSZn5/8Ub/nrcZbBmOfvJyIM/55DYxunhYmOtcpnaue+SX+Wh5l+tu
rv2U8Go/k+qVr0KFYIBPi3fQk1dWFiEn6apQvoVYBn87B+y2PTt85wHiQdrxwdNFEeHLCmnuKwDJ
LdIJh6VIBntQm24MnriHbmdsa4tWMt+ANqhpKeS30vdkXAwAb62WwNWJ7MGVyh70NtdINBGi+Np1
9ivckK/oyNmWtc55zW2cFbxJ2lQiKXTlPNhuiYhaHaDsZHkk63YvXG9XuQRhqDztAgZ8ADm5iZ5n
eAWYpzfBHzBz7Y5DMinjOm+m7+FSTl0ES2IRmQBblhaech/wi2O0VgQ2cRt665BvwZwP212AJIhg
a60YDoj6FyS43uWmjCGmSEwYwwDgo3oA+pG2siO+okFo/dokD9mcQDOBcB2kFKKUAz8aKswLtlvd
hApJ9FZmU+SM7+rQO2aqJ1SsOBTiFvBe+NWYBMANU3vFq/6HvfPYjuRYtuyv9A84V2gxzYyUUAkt
JrEAFBBaS4+vf9tRt3ir+Ej2YveUIw6KQALIDHezY8f2cXjSt0JpWBooyDOJrBUib5lK5+oRvDyl
fM1weQ811LdV3E+M/RZkCwuhJdKWq6riSUmVigYx5xQiq8UF4/NaKW0OklteOi89ElxXXSeWBeEA
dc7zivAwO9XlHObg5VDwfKP6ZnU5EhLaXmEVNftZXRaIWWRBrSTAyVbCZ8PaZryIHQpNurwYSjNs
z9OULblpk1SNhILHx2AswlepxEZDNhehkh9LdMgZn0Opx4JaNX4QUfaRDTwyRlnx2VZLoD4zJiVr
+th14Fnmd/C9P32lfUYznztTyaFVGW0ssObYYtBaxqgpz4Ux2xc6QqpIiuZyHuHlQrRON66/hGyO
orwOYVitoxY1Np7Gi7HNPFRClNrcT27jlk+zbUX4NvI0ZheSdxyKLhZauVxXYe2AR4Ic1hUjZlMk
YbNpByp8Hqx4acKVUMoxjJ5wO8o+Daqmt/Yx75fSmTOg0wximmuIJ2c5UrQWahA/UDp0YzyGSvsw
l2VOVl3VtulVPevtU+YDPts4Xemk625Iz4ZhBOrT43A0EPFCLDlp0j17fhRb3y3E/+olGp6Cv6kJ
6DO+Imi6/vVPygK+9veygAg3lcLK3c8WPSCun8oC4zegPlj9/quN/Lcs0JXK4ttMX4kbUQaGH7KJ
+xs6h41Fy/k+Ffln8EslA/3kElCyCQwhJploJ8g0X2XLz2WBX7gLm632eJWPLDaH67aptGM+69ax
RKFI16lT3Ms04nSdxblX8oyldgGLMnWCuBTwLfoUg1F/lnnz7ajN5zJkSFDHDovQkwfZN1mOftI/
TKwAuIV5sBOHRzKsVo2aSc4zaL/BWc8MipOFM6WgMQXH6XOH+fOOsuET+gDgii9OVZIBR2CFb9Nm
ogEjyUp3mnpQGanrwSo+Swf9sMstuaF1KAKtre8sBwWYzT6D+xNzYL2wZTT1KytqxnVbho85JkDg
JEw0ui6wk+nNGbJVGrLYjffzHdUyWY9O8uQ0mFWIFDmYswdbkM4WBPmTE1k7z60XNlPNbcxSNEvg
rEk7ox2MlbfvZthq0qIFQaZ4k1X4VkAi0SqsdNzsz4nmJ+vCynZZNh/op3HyzROekJFexIvqb5Fm
0anp5VNd2VwRqo0Lh/7DCY3lssvka1LbrLfaCTvVtlFgtHI2ovT0GwM5J7Ag6LOYjbpbAZbcTVN2
ptvNyBFALUZL1PZb5WhaLDfh8HKrbS5NbZ0DeNh4MSdR5C9Mg0HeXEjNm4MMoOPWY4gRhLmQ656B
HDJ/FqOkQPmXGpyXUuuSM25BdpX8qb817HF5YIAVB5WmeEldrl0g7+MQmLLsuWqRmuk/nSfuzOKm
a/XmFDtGcvD0dj5v/JCTXObVEXJ1izRgWel5OJW1ArfP50O75MZqKbTwbfYS4QUEKDSH0tCus8rX
N3E81fea5A+/Cz3DeRGpH31aHrdnoVhswKyGTQaeTRZMzDpFbBsVu61r8VkDc+uhL84wBRogbx2w
N62D+iaa4bJVHLhQEeFcdl45oaHEuYoXZwGOsxRBrik0wj0UUw64HMT/aJUp3lypyHOOYtAtVqYH
leLSuYpQVw0KVmckt+53eh0cu0oR7VCMxgef3ICDA313FSvynfBg4HXA8GZFxQMrHygKyffd0H8P
c2U0++vDfJP/n6BqmWH/yUnOF/44ybHqgGVkSmxaOFx/Pcl1gjwNlkXx3jBCVoPqHyc5cDeHyBoQ
bl8sNtWW/TjJvd8wqlkc5kwl6Q3+WYPHKP2PJ7nH98FBqFkMBblYeKWfT/ImCmdbwCK4Ak3+MKkh
1sg0S2ATWrlp156INGHUhan1ybbqfu3beQPiS7hMpRCgOzGWR3ajB9hmeCk1ZmhUci7wNY9TF2LZ
drHQegs1dMO83K57a6g2TeiP60YN51KmdIQ2cLrPXsyp7t77TPJwf5ZbZ2E66zLlw7gX7Vvmfn0y
P4YT8NQxrW/bKmZ6KhJ/r2vRe8nUcDa1M4TMy0pjPRSyr87MOtW30tZJNWHqmE/JTqoxZMU8kibg
OeyNY+/UHaEQw602Rvk2agjcGCaGWKi7bw43xh4OFGUsARRbv5o/nMr5cD0/DdA3h6BjQurP5lNp
VOWxHvJqBRfn1Rjj61iNVfkx3/2yuMpspDATooCInap6mAHabgxN32U6Bhgbtwty1TaqkHVCCtbF
Lj6cXN/MyhlT5fXOwivjttPNBApgz/HvrYrRJgFiWpYgTYSzGcR85caTuUrw3yT4cEZlyMGX9UWR
q2BqYNdJ8e1AJzuYTv9C5AHMdxNrz8B9uiizj6fJBy9HTT3NHWdY3c8LYhzWVf88FvXnMsTQ02iw
Nl06kBEyI/lZSz7vioQ2u0lS/1A3Mr42M+MeYYqRJ0Eme8OLV0uUmc+L5q4AtPj+cDc4eXTZ92V9
XLSiBWAvsn1tV5sp1W502gvMwB7tEn3mKtOSB9V/orGyxGgKal4zAvhQO/Uc2BX5PEJUpygNw5XT
wQh2tDvCbugeUowCAwsMuXO0hpI/Mfd6mM6PtZ18c83iPBTgJ0q9YbsLSMvKFcOrVXR0GZb5LIz8
BRs8brDI3UnfYus3TveGRvfqVl0wDwt8M7PEquBtZZkFM6SZMs/OndAlJEmwVSDlbbGUn1peeRty
aZwV5BHkyiwiI0yk7xBEnmwD2TSeb/K4P5ejuEPUeOmxtWLmZ7d+EGdQ0i41M7yfy/RMTgXvVmg8
RAVU5rgN7wjnOetT/kK1EVlbs8Zfnnn+ZWlYz6E73aMmLas8ylNm11jfCWN56yz/ZmpZSq7brREq
m4c7Xk26dWNKfpciTK7bTj+ArF2zg3aMMFgMDowNYb9Fsn9QawVRaTOKsa/iZNmbbQFqiol41skn
e/C8XRqJYpUl6IscczjfGkFxpfTikICZ9Zi0T21XHE0fnIlpHGJteRhKZhsjOKp1Y06HurVVbJSa
8oj8hlHIGzlE6KYZCJrF8XYqsWCDuOltwr7qNpScxRbk/36x0D/SukiJAanXc8cI3mDWo05cTim9
2mTWeKoA8KAW9Np2GOV1pGE+0MFaa/wJOJOuTelcpIP/bjuKr+g694ZjXZhWk8JDQ7ofZU05oo64
Nl7w2Wm3hl9uczdGgag78IbM3XzdzvcFbbue98gwRe+sHT5vwxLd6pr15hbIs5HhXUC6DXdRJMSW
PZsb3WV61kSZToCH+2aQDrPRyxyXnlNvpAlmp0gMC6ug3GbIw22/hLdpswB+afW7MhlBEQJyf69j
cemQRAH+hTMiSR6neLxq/Xhf2N7nglV906NMMXfRmIM1NQl0nS1gwHdL8VgwYIwuFrgLq94Zqw19
x5nttXe+mqm3arpOhtdLtSQ+itBowvNdnsKR6bo7dm9OL5r1MrQn+JaXMWN7k/H9zBhfV/N8s2yP
+WJsssjKN0NvXzO+vxh8Qnoc5QZIsQV42AM0QWXZKseAPaGjoUrcmZgJkpB2AnNBqlwGGc5Vfprl
yVcGhEY+FPZ0DRbxxOeBPwJWhQLLwmJTgfZqgjdq5Q5xcmDRoL8tMTroTnckU+rM0ub70qBNwBDh
YIyofaukauapVp4JN3dwTygfhe9QgCXKW1Fq+C84Y4Mpqfcl9otW+TBcDBlR6mCqVB4NW7k1sGzg
26jTw6KcHCIj/+XL26FcHkx5jQOzmSTwlQekUm6QTGvB/yuHSDSzzqM8I//K7t9ldyqUv67Ktgx0
yj8ryfiq30sy3M4OyjZ7cyxca2oL+2fNHSwNVZej8X8oeM2PkswlVB2WB7tcas3uq1r7UZLZgLkR
210b6q5aIPhHngRX+bB/ba5Vl+7jbHR1QCK2+Ye1jqxgYjv3oXsJWf8Y9c1YXvSTIYEaFWNdk9mU
DMvOmzrAl3ERzQ+Vr5jSlV8y8uvT+Hk2u1tCp2QQs6i6nvphR1sSsC/DmE4rDXqJ3FlVfvpGjkfC
g2onGynANZXkweDK6NlnEs8kHN3gQXichkrPrntMALfMh/f+NGNGDBlF8SRHWiIus7D0plUzNsy7
RfQs6z4+hWGcOKc4l+7JLj2WoizSF8yVg0JfBXZYaOWd4wpSpjinpk0362FPjF4XJw8DFzGpctn0
mBl+jOMiq/ZJnKaSK7i9ICLrOA32jR1ZkiFa+aAt+d1gMUas4vrdUJK/Ew90zFDIW0U/1c23WEUF
tcK6dAYDFX9+GOLEXpsUhGIUgSg4AiKldFs1tERPYt7rStfa6Fb8iLDqsc+VoT3at5k3XaUp4Z1S
JN8M370rButDs9Jk0xX8UWyvv3bBjfI8A96d+P4rA5jqizQj7skp2WsLu1SNWokrcu+uyXVjW5VZ
SaOngJapsY8xgpfj2AbFlBzMGLCvXWD0ICRqwSyXlRuIVySaafJo1sZ1aAzFGlccnaJl7KuMhTDD
g3Lly9k4yBF8qBi0b1rlB97QFUS82VC83G5XlP4r9K4zx3fPOpNMjcRjnGwu/i100XFN+Oh2DsU3
21+2uTYfcJtfRi2DdwwlQd0uzh5MBn1vWH/2lWhXTjJlq0EU71Psz7Tf5RMf6R6G8ujuHVX68/G6
RsbuAddWl72dCurG8JT7rDtGWOOiWL8Ja4Fuyo260ubWXmMR6ZTpJIjt6mlIDSB0UX/seQf7btjC
P092s83wyNGaarOUYOdGeTU39qPe9Zd+n9ylPXmZidY9FFF8oyKs0KcH0LaOOHBom6sxbm+kG94x
Eb9eGkBo4OnqADZ7tPKTRAZ6G56GcAE1Fgq0G/HeNiIONKvOdtLmklp0P2fwhU4T2R1ajgbujJjR
Y1W7Vymha9vKsyeAnKW5Lsa8x8ExnTOI+QZH/pgMHusFXXLhpBAqE809g7yu7zSfFCZJsIvOAxBY
evraavW0lX5/5bfW0yhibc2jPq5SWTjreDA/CznA9ayrm2Gp1z0Y5UWR4V1XhRuWFTJuNt4b01Lu
hcWnM1QlXZcnH7k0Fi5H98me7FuDXcPDWGW4JFrjQJsIONTzQGTiqHFw2a21wrK2U5NeJZHDrkV2
U+TjZRTz2Z5iZVROs01S+CcjKqH25fQTUz2xQdrOctWUzt2kI5hprfYZGtaLZubvjFUPzWRyz0c9
/YQwPqxOPHSp66+Longopt7YGP5wK2Wv7xKneK6kdWaLStojdTXspqNrzc61mXq1S7KMBus1bt7M
CVC/YePOVz7gwW4uHDH3myWjuxqXt9Y0nhvPN/e+Rm5I7bunZRjLwOtjJjItjhhGs+WKhIF3rITd
QXP727iEWenVWr4nnVWuBjdLOWvNl9qxbvuCRLmJHCksDOEUkBWXBmldlzhLNSA4+A/ZvvwYF+kH
pU1lmRpjMIaVu8+y0mczxcpXrOwT26LRsWF8eWcFFqREx2qGFk72ZTLbGFS7BgCjMOLANJqbqaSA
kR6jQZ00sywpZ96nBPOsKYPETmUg07i+KNzpIIvwBVQcaARhFRvDxWYzm3xa6zZ9d9ySLixMl41d
htvIMiWMxLY5VLW1zZgjQhV08q3n0fhxHi67Mm1eWs8mjk9gWgh3FSX7dSzIi7SrxMewOWkrvy/8
7SxKqEMY4a+d0qi3bqMfCCM8RwZl+Fmk3o4+GYM3Jrx1OEp5jIfhW4aveRvXvXk0apM5JWMfQkqi
ch+X5XK/TAXvzSTF1mbMuxIU96uIzL+V3Y8HQuzYktU9YLo2OWq5fwz95UwkSwG8kP4mzJZrwscC
XHK3nnCd86Wj04sHhqrU/yeg1nelwYKworFv8U4nqyEWLcTA/h02J74qOBy72WPRXOqoyPh5Z0CN
8alPjFMZLlqQVcm4q+vljKyncxzhAXk1pxFlc2OmjUbsEe124raXvp2+e8zB8y5EkHB92lRStrHT
29hvPblB62M9dGnYA9emB33IXqtMnPI2uc2wf681tiE3aas7q9aqP3KidKJCs7a9aREElVh8SyxX
wZRDQid8czUOyWXoD8xodW0MpqYN11WYnZUgDvfpnEYPTZzj4g6fwV3TuvDoku35iUft2TYFK0r9
Zf21tdwX76Ft+BtiJTPCIPOHofLYyU/YSTaEuF60WgtEnlzoKMm4ELOzHBV8bXGn2mLkANP1j9nr
sKSE514oi52WyCP2Lz9oMrFK7fKxkO3lXBpMvmVRYDe31ryhx6bTz+y8+CZq73OaaR8dFBSiavdh
l36wpL/thqrfdcRgdjX/OlXiQUs1MnLPCiCX7eAyssxe/SF9IztvXY8MGdLWPeAyVJ8aL1p3Tntc
uonOLePtKejUU6SfeeHzDH+QttiwPky2zFbgCm6TNOJ/5gAfC+wzba6vLBaAMAN4yY7K7YUK7JDM
ZJpQ6bBb7hwXu4JaXSdXTgNhw58edZNvXs8Vg4n0LEO12plF/25hbojckPQkxoeaWzBCLR90kwvP
L6OdDQg8kJ55yQb4fTtNtKMdC0qibk514p8TbQLtgNH+IIiFclNbR4ovdliV6EuNdAPUtgDYCmod
eTza4q9E+1lYxMd5cVuMDb+aB440pu5ceXmC8G+q6qE9uGZ8nGT6Get2so0m70rq6a5adp3PDoa3
a2UZ6PO5J7K7OB9BM1gEEoOr2KXpyN6FSyFjLm+mN22dKXrznOTcMgainEIt5s1qXlkNUCmZE3mO
0LHbMx6fu0giq9G/Pei1y8SZ4UXXbry9GeV7A1Pn2GdB6Jn1dem0BQb9MnGY+Vq2Lh7jsaq0NRsZ
XXtkN38q0L0meLPbKh+FvCYA/qXU7EQEVsiWd7S4UxJ4fnas2I5YzRmJtfScu8UHXtVWYivclES2
TEzbxKoCC1pyEI7VE7apZVN6Y0P/H+mb3EgJ3y5vJ8uZt2xdfxJH/wgNHcAvhZcIE5B2tn+IXeuV
PJrTnBCnG7vEj8VJX6ypu7o1eFlGONOorwTCCNeJpC7UuNg6rjTeP/XeUZsPPklgfnzetKz45bUV
zL17OfbJFVEJ52ocB583fdV9GXS+dU6cDtVNVb9xt2DlzfN1Vnr3XZJYx37QPhaSe3dLqmEiGT2I
48MJmw3hOiodm1ZiRV0zBU5YfmunYm+SHrPG0bpsm845t5r8xoCVWfY4Yuyimvacu+c+oRmutLns
MIruh5EnOjV4QVZc1pmVd6uOLIC2w7+LoXZXG1S7vp69ZE2ytuKrjHCB1JYrAjoPdot91PegSTMv
QaLsrwo7/YYpGQujjq9IJpdVpF3aLATm5XhpGVcOUh2RnkHbCoBQWvVIJPKhj5Pn3u3va79inR9A
KMGUs+Mq+ueauvdSNsZLUhOU0wlOxiI6LNJdDumQv/AD3seqtXepBTdxXzOIKsSLBaDtsVhGaOtN
ejYT2hp0I0HTslguplHi63D0p3rU4Atk19NUvma1h1ep6/kk+M+5XRFPGT8W5KL/29D/JyqS/vav
G/pd/lGWfzJi4Yt+9POG/ptnM4P+Hn311Zn/3s8b7DyTsEVOo20bzGD+288zl9GI0/p9xvJfpg4h
kiahMvyb4evfnXf/wEOnO3ynX/t5APXMaviengftXRn5fh6xkCbrGvPg+VdG0WJOtfWlZkit0v9M
UcYGOFrSSl/QLNtrhtxkBRYqNnABwOuk/nlb+hnXRfaWITRKioXRAGorLQtlqTbzWSUlLodyJtdh
GP1r2tRPlXe6Jq2P69DYCbymUZfQqzQ7DQ+qhxd1rsVeJPkbMTcmiOPqPEqn60zZV52+Dej39q7G
yivtLi7taY0FmiBpvK8sbVwaVECJMsWSjpJvB03upTLMlkJ/S3HQzuxbHVrPfcIBfFja6Z3z8ILs
xhzYPL/bs481qVeWXET/j1Z6QabMuqmy7ZJY11wtiKOgO8q1Mer7Bo/vqMy+k7L9ZqZoCbvECqyZ
Hr8tRoKgq5ZHFIMLT5mHJ2UjbpWh2EASiC3s+uYQbVtlOtbbyN2k+JA9/MjMqMagURZlosGeCzzL
eAKo+qsr0nzhCBWhvS2UwZmFjsOkLM9+gn9Wh4ISaJM1YkjGGk0WihnQ+xZrNlnAnMjrws4OHZ6/
FQl732QxeitNma1Jpme4AjnEjOQr6Z9su+n6Z2+Io45Tm9nyeaqs26EycY9fdm5l7K6UxVsqs/eM
65v4m49ClNMT7+dZb78shXNhsdSOdwnXcHpkh+12UjbylhDRDv6234DuNsqBa4zsiGhFzm8V4zDq
Mx/nUgTWPu88ixN/jHeJ54GOIVjUvzAIJDy6WTXuWC2sDvxdam1jaWwisuHt34YYqCHHSp3on6ZC
Dhhtae2Q7608yIc52umyipnbla1x7ub58OhVjrdnK1R7+lff/NI39b+lQ+yHgkWLb/3/PhHV1/1+
IhLmhYLJVhWjZzgenDi/n4gWCbm2DgNCw2CkVqB/KJygxNQ6NeG5JowV4jAZFf9H4bRwKWu6YWE6
+qGL/oMT8Y8jZ8sz4CL7ng51nLXuP2Jr+gGzvFvZ04m4mQivkLyput1Pd8TpO6/kZzTOd1TZrxwT
zUZ58VlohmzB7/vroaszV0jTrKtP5gTQqyOBqmOzKTaN0jzFuDV5/itnzq6XKnG8yziO3SdOCCO7
9jRbrmOtmA2MJPW6Ixa+iQmdDvONYybE2ugIAou5ljI/hbYI8kocZOezBVDd9ho0Ixnrm6Vxb+ak
25Pqh8kG7HyZkFpgW82RcOor4WVvucxeBXs6Q10f2Fd4YrZKOZ/EV1HfbTwjP7gx8TH63H7S2xAi
nkxBzom1Sxri4wUwoRWh5vtmpMYc3PSeZdnG7HD3l0+Rox0IE8f9o9dHQBQfeefHDOIshrLFR0iC
F7P7moQADUR507VbQhbPw96dAq9Uw5jJ4HB2tbeZgCfTIqJMt8q7UY+OoWHctzNPt5H0j1kBJTWW
03vnWEdpteW2SeuLMp4noppcE1tUaK/Dqr1tEzZ2XIv16EiaF0WETaDvzOt8Is12GYcnkZrYe0hZ
5/5mq8foP9n6RH1JjApXeHUqK+vMnVqLCRQxXnnWpHtHY4EL7SBaz+lQbpLaYKI3eiRX1cujXlSo
p2pDbhA39iQYbxr53VT4mD297Fk0rQVPoz74eNAu837S14ygj50gjEDTG1KTvOg86t9BnG59TGZJ
MRlra27o0PLyMVzYgQsbD8Ep0o+tN7RBP7o7ArHeIdkD3ZQtvnjr3euKOPDS5NMrKJ8jy1vIiPDv
8Bd8Wsm0JoPsI2kQCfWO2AKD/XAdi1gVFafR6N70NNXWrco5gj13ICsFRXDst4mnzAkmBiyr66eN
JTRikcrhxFDtfowGFobynoDYuFXa9W00901QAU5elyGjU4u9jpEbcFGns++ltwbRtYwjaYn88THT
qNgT6Xymqf9i65kyrwLBMucM1ynJHxdlkbfrKE3qNefKfUQifWnZNWviJOLlrhvEVTzxYZ1fxjRX
ERwNruOJv4frLs+ZE945I/f3mJYfFquK27HV7rMop0/BDzsLlbgZ9ehX4rMX3jP7ZszTsngNkZWp
xBwy6GXXyqkMzOEyO9SGQmlNVkuaVc1fw4eq0tzZ0URIiUOGR+3n2X2mmf7BXub05JjTXdMY3EH1
R4G5JMnqHEt5/U3vG2RpRCrGk6hp2dSfDW2SPlpWz7JPmKMYPJT+Zt7JWKbnBQSCRIibdkh9VWmQ
KReEBVHTI1524c5V0Pp1te5y214h6awjswZTZl5YJHtTi4E9YaWr5tlUzunLrnKfYs/+SLS5WXGs
Naji+rYgDmSM5Rnl7Cus07OpT7ClD8/RYGHuXcybttQ3mLlvKt08TLq4YfUqcET0YGSE1Hk2kx3t
zJ+iE8v8Jwm9ZOn67YLAzS70N5o1orLcNMgINtywUbTOMFm7XcsaOSpfW4+XLlHFbZMRS4O1hCnJ
xJSINj31BFqtuJJ9+1AkfrYJje6jY8PdaOZH0X3YA5/E0XG3psUq4zokGxmvRzhRxKaDFGKjjdJ9
cKNx3jVNa6zTCE+97dV9fZmZ5lNRWfi1F9bExzLCTphybq2yyqrlqmCXddfLql17OXWZZxYPGdFF
4Cyepil/IHX2GROJea0N9nLiwmu2bd68NoZ+iFvz2xx6V83CnnvuR2qZDQsSml+QNCNo2jRPtsVS
+HdW4cmLqIhvkyh6Y9og1lNGKl1Lo0ix2bPEVaIzW338XBq8i1N8B349DXxTHIexexr0akFmNItt
qKh4NT8fS3LcPWs/4wyAJuQE3VAvV4I1lzsnRbKV0p82Uct6PU959xj63RBYvVvseZq9oMn7wHLG
cT/q/bRDmarWZlHJ3VRqMdUe8e1Rj2KPBGfvJ5yoe2rZE9bQm86KVXO6S0dVoIoQtgMzpMXR7yi1
n1p9vo3s1jlArHyqVMIkIS/h5d9fuxQPP3U6lA6GBigQM7lDr+Oyo/TrpevkQw0LtBlOlYexXL9K
vTuHn9qmWyCA4+9f69cqQr0WnZ6jmzrAVJfhq+q6ftpM6roKvM/UTScv3ITZQyNJqnr4/3sJ9SP8
9BJT3uT5NOTTqebBBDKyiscXq779f3gRn0bTpbbSDVV1/fwiXYyTNy2n6WS2dw2QXgH64PD3L/G/
3xb+VD+9xB+W3HsU3Iicz+lkebdFs12KfkMVUrqvqfy/vJJyC/5adf36Suon+ekvlsejXThsjZwa
8NB6yajKOA4FwslmLI4LvOa//8XUD/7Hl/M19rSgC5g+E/1fX66PUuI6e32iA3rSVRiPcxfFZ7L4
t9f4Lr3o7BX8tfRyKOqPNnnN/6TX4Ot+9Bo6DYXCT+Jx+lJYeA5/9Bq685sO6djlMPhaRuSrfrgp
aFAIGtYUP4lnlx2C33sN0/jNwd3quaQI/geR/A96DdwZv3xG2IIwbYuFCEaLBhIMdLtfPyNu3LTl
LBp5MZtM+Ld6poHtrV3wBp8aKbg2pRY4HW53k2nssicZNptKyuWUE8yxspvQQCP1sFDtWx34DYv/
xnuEv3td+eErEOLbLMyKk8wA0TaLY2xNW4+od7XuonKcz7j2uHGJtORpAA7A6MvcuB2LZb0zuewu
6fb5gk55EGXeU+4zI5TrmWCudZpG7WWt6Yyrkf6ZW2dn2JLKoKsnuW1tqtm+IWgtB/C7hifMJB7X
yKU1ymNmJ+de1YdnxI9m20z4KKqISx61tQPeAGLVdvZdJos913BDjbfWsy9kHTdi45E2plniOef0
rp25PLrxcKc7RG2GBfo4Ony9jnwpLtvUeZ9KLvqmcvUdywafS5q+ILZjibNGvThMoRue11Yq75kx
hQyFY4D6JopCnH700WI8U/Yyf8cRsh2dvAncLsfLh3oAkcov/TO8gfrGmTRxtOpZO7dJ6N0lsIaB
yA3Oeeu61x4rbrfUgocplneiZpeyskprp3nVteswLISPzH6nZrFzUtHFLRlzD0ub0KhkJs71GD6e
K9vYJrkswuigmdlZH0q934EekJTJS9s67VXMezdCxUguJCl22CoiPWRQn/Kd/LXni/6q9vwGtwfK
iX2oe2ncCYJGE6hK2XJsx9K/SvAQNqtq8RhIQOYxwyuf2QSzgcz/HHU/OzewaZC7ttyy96HPwddD
+68/30TW+OvT6/b1vX0tYLH/iRtMfeWP8wv1WKNeIUPdcPFa4af//fxSwjIOfGxd3/+Fr/pxfgGZ
MzHfo2TwHyaC3Dw/3GAeG93ozZw77E4r7fmfbGAT2P6H88t2XcCc/HRY9C3Kgz/ccfR7ZbdU83Q1
5wzQrSEhMXYkEVa1PoU799tOZIxSsMSMz1NanNVqdYecd4DADWSBUOJvxKKl30Rq10eF6RWS5EAH
79aZ1i+vtloN8tkRmpym27gpeXN1Ht6ag3AuypGVZMlCwLbG1XRJNbZJo/ihx7Q1MZPbJr53BHJy
tFr9M5vlwxQXODSyqyZvWRo29j7WrZWfFuRrF2ZNBjNH4yJNMgo0q+McIa8Tvfwjda37yREv2Sg+
pjHmLGBwvJ4nidesKr4Rsc5SjCaAVo8D7hzgBZM6o0efMKDYIhrKdnQCfKFcjgPpn4OsHuKiujac
aONUDJRciWbSDGRHR+1uiEBUH5zavGHMdYHg/rFwisny5Oj1xKg0Iw/Y2dI5PhaNCVgmfI9L+260
GfRq6aeMrDpIcuPaa6VceQMTpzHq7ivRGys59CrOMc63c5/P0LRZpGgdRq+YXQL0FWvfeRqu4pwW
XSsHd7VUbMoXCSsJXZj6G9ErVhBsswxs9qoQRGoMIr0hQ9UIZoPtglTSB+oJtHO7EuYFrVpCCOFE
I4/x4biIFiFtJppVVNpumLsDzOgE2HkPlEZxsIYvJFb55fk1lP037ZQTOP9yBefsnM6mw4LunIDp
wzuMarSf8RLHvULMF13vXvRh3/kvrb0k34q8AtDv67kPX0snHLnjxnA1dt67BWRqZMhyW1sTUOPF
SO69yXto2d9gyEiYPIgeZGeG5ZOVGoGoB6bv0rvzS9YTChs1ORx2Oe4Mblz9XgzgdQbMMv/D3pls
x22kUfpV+gXgg8AUQO86M5Ejk6NIitrgkBSJeR4CwNP3B8tyUSrZdbz3plyWnEwyCQT+4d7vktE4
F7tBFeEtnuGa1tUortpFWKDzWZosAcZoKj9xBcCZt2S5Ri43XhcTenG3VxXDl+GlRVNxkqkxoM+O
3ioRkSsE3RWTtbjU3DLoVnrPIFxjtS69rt83fdDsjcbJ7mqnzq6GUhafUmPqNhUuB6gjUMfcbtN1
Dr6NHpNwSFM2OgWSODwGSEr6ctWV05XqQI9quPnXOW4z344N8KpUQdspDpxjN7FNDKp1HcFYmyxm
LHSciN6wa4UWa10D4stB0zz1JU2UYqVfB5vY7YrdWJXpa2raEBZ6hbexdo+pigCXzAjlm85bYrHn
CtmJ7TU3yhTBRRSa7tkdJkhLmPG8xZZHajd35mLVGxfTXrfY9zQXI19LqbRKF3Pfv8+jb5P7v30e
HbjSflFJf3gSCfs3x2Jgjw3L/UmXLHjeeLpumIDK5O/Usz+fRJLy2/IM6RCBvTxveH58fxLZvxHD
Lb/DU5fF4z+ppJ2fcaeA5j1z+R6gMpjgwX9q7kzyM8m8lx1xXE60Lcss3oxlzmzzZjKGGSlI7EXB
7PhWNOgREvchVb4tOkMgeec4IGFzis3sVLtxPV1hNbKRT3Bn2g1mm5HQXcY9WWTuhGTaSKVmZXGL
3ixIBs6IwCuLL3Pj9Na17HuvKTYSuBDAP9tWLSHCWp20z3IGSzFjZYBlgURkbAaPjF3knrukrbxz
VOvRIYTItqqVsu7rsuLgxC9Q9yWsNStNGHXXajiBlZy2iIlJ+czS/lY4qXrRC9uucHRF4ctgNeM2
a/X8AtplyWi1DC4Tzba2uHsiRK8CjLurzOlGSAM+aV+qc1pIdSkwM2wahLOlQhKNIMZonmH/tOus
Qy+zjlBdHSI76T4ZqkZfw1Pn1Z0zbzdEmWIiDaUJI8Yu0yzz1p118ImLsjjr9dFC98Z20u465KqO
TjQRxrdtSpYLLGWBzKNtcXyxDjBf+DV1+zrQsRuIChez50XGF3Ou5utonhMIG0ZvvKTMLE993YaH
iVXiZ84XE4qAgfqNLMnN7Ob9Vd+nr3ykxaH2HHEn2ljP1gkRNmdLIQ20odVeEjwebsLJji/tuG13
HrAtP5k993ImdXmf1wUTsiknz4ul6CuymuwCB0j70OdlD54hKfAWxsaZdNYMqW/UpohhA8b8Y+3c
MKDWttTi7bUZU1agdClPHOzDqW3TI6XDTLSF5m5rexrflRVle7fKw+NYxhbfWyK1M6euTtZMS2RL
OaG87Tpainpyi10Vosa1sNZRUDVMFGbDC45ZozkPjNkfsRYaF4bmVld8+8FWS3Pr3JYGorym0a+m
OSKew1XJIYzRWVETJIx/q+k2alwF50PV/hT3ox8Oc7Bt8T+G/1b6f8wp2N79daV/emt+oRARHyhL
QjJTcIgzgPT4x/H5fUYBYhr+nWBEQBdgOvJDjc/x+fuSUui/4/KXPeX3k9XiZPUwzkqb0pL4i3/m
+Fh2kf8ZY9k4gJmXQoGiAYeIydrypxGFqEJdRDOx7NDYIKvGDQa9yMg2sra8nRzc5zYI1bZeCH9i
mhNLO+at26MwlrGRPMUGSuSrKCj7+oAkoMoZuydK97Hv9RLub9Ooa1LTLiszjT8hHcQBFZmzxIM1
tzTRUfLFzGwO8WIKdxUp58IPmQ8HE8U3R7xhzfDyfr9aaxv44MEKtBw3nuhk1j7lEUY32MxYvVAh
mr3Txu3WKMZYHPMcbPNdONNss7UMEtY3RN2AJA4RkEjkjuPQORug0MlOS6faV3UgdkPqCF+N9bzT
U6d5AAXQi33qTc7sm21P+vtkePPoZz06SKY4gYa8wao0ZNvV7Jz7qY3KTWWUzl3sOM3Cza7QRaLA
2YkqSrs7sgrxnDpWlV2NhhMZu1ry77RI5edZWR4MCvx4SbMao1Ie8GiY+r/Fzx+3KHXH39yicRG2
v6h+eNH3PhyjPPoCm3uRvIhvJc6He5QMZRRUVEdUMUz4vrfhzm/4UV36Yxdv6u/34Z+36FL8UP1I
g7mkZAj5j4ofyb3+0y3KuBLHGBg0gtYwy/94i4rA7EhWkvYlQCKzuceblOWoIKdcbIhxoP9w0R7F
oAtTE/SGM6K1UtmNrpmATc0sR7A9dvG6k3qAFtN1WvBDZUOIohywGvd2yw3VtsERbCiq3zIr5/Sm
xH1V4cLClvplVAZZFKZ5OTlFvbEWy9YsR+wzdfRSSmQ9xmLsYtpKu65r6xHPFwqAdJ0b6bRR+MEi
EXzmeY1DDCo64vfsd+dYCimIBhQ72WA3mEnALcnRWZf91BVnS5vgGmJ+jq04wDWcKThVxKYFxVC9
GBCZQpCbUD3yYC2qYtvSN67LPNnXibaPY1arY1O86GaTULOA5kCqfB+H2qtxrorpXNK2j6bk48lm
9pNZ8EnU7k1e6r43DbtkvhGdc6+G9tFxgTBhU/DO/3Yh37oQbo+/vhEvntO3X9yHvOb7fWgYv5nI
aahTXSZfuvkRPWT+BnCZG4rUvj9ghd9vRAJpUAz9OUP7oB0y3d+IWmAOD+KCO2fxVP6DLsT8byLh
cgZ4/DmJUIArfk5pYpLNqVwX9lU6ZOFJC/M6uBvHtKj3oGDSnSLjBE06jvWahTh24OxgNSgt7F6z
92mAOCSfDDZSSmcunjBS245Ad1eWXHA5iP1dG+WMSohWSeHga15CXsIc1Dzh9K2T4+Fn+7r1ZvfN
TgY2vRPOyiCwZjSAUXgqRnVKimyruQMjLyPpb7uhZRA8Ol+y0SsAx0SerxDXZ3q5n1EIKCO8rUUB
5cuBIAOxdlgXebPvZnHptd4bRsub2HSv6OwPLFzv8OrttLL9rIVudSqC8lRHxApGVnwQnvqcgTp2
teguN+z7MHZhtLmcB1ZqVlTo4RMV8sF0Kz/Rgyc8Qc99ZAqGe4DF0m5QJAkSQxjD/qHNBHPUoMuX
pXeqYQgRrmKgmcwua3TwGA/Cc51bz03UXXWADjo+aIxA0BhLphNTUB1zmcp1XsLc9VwgezMacAMJ
5QxPLUVILytTbEw5HedA++w20c2kLEIau+TQh8Tm1LKdOQU4Bt3FryUCjK+q3NMVPaVUKNT+5do2
m3kbTrCYwyp6BZhG4Hkl7E0hph1QkCMpyOaOXILLorKMjeoyotqb5qEKIss3m/femfS9kzqezyif
9YjtbKgb37WxRafuecwve8YpMQKGQdaf3MbFLOple0AeNxmpfOCQAPgMTJi6Sq7tkHnPqIfTF/KD
jm5ofZV0TOQzJB4Aj/nJaqojhtUvoz7f1GgAGPE/qQoPU9NF76Cf8QuqFIN9m1zmctqnzG9x/Agy
qHv1Nroe/idhsy2owm1i9K9ThPmD7nwrh/R1oqxkLtgsWIfYaV8GtqUX9MRsL/JFjdmhjMs2atFo
8vNj3pwW4SZcOEScA2pkuepciY0z5zTYkLeC3qUOeDGDJi5QhKOrOCBtrGCE6Gk4eVZBqkHJrKJo
Pw361czNcDO5idylmosnn8YRGqVxNM3EXON1WZk1r5njSrtKQoKQ5KiXPoBHBLB2bUL+FszeLDMe
D4h/7JVdl/HRdceZmtdWPp6jDjUdtkx9GLYKY5Krh1d4ydAuGOJsAodcQYq/QV8dbtosuaydiqwk
8choYbprhJY+FYDcV0aNX99kryKCpvJdWE2rxjFT7B3harDAiBDWBEGRQQHEYpfrxgCvKwuyE4Xq
h0s8kAQblvBwtOnM6NBPPWRLPQutVZ+h5yFa6qXptZ3AlrsaYCcWTk9Ige0eNde0jyLM3E1ZJWJx
3zRfDGr6FaZo5cNrIkVpeVAWkcSalTfVVqsyXL3drL/Wwvic5Hmw9cAh+6pR7q6YiYdM08zelTlY
hBbSPPVyXa6Esfx+AydfzVZwqr1olyl1GXNHkQbTHxOmf5Hip9Y1wpLD8iQmcxfnQeeXHpaNZG5o
sz13PUbY7Ey35zdEqjt2qi1u8mmbF/lNZMfMEhefJt7Wk0tk1EpV+i620yccPbtea+/mdBiI5gMN
EpHGWIj03PYNQvU+hykmm11QVXunb99DM4g2No3WBtQHNyxyI+PsjvmnvE2yCy8args+UVZ5QCfy
EnROCEmGscgjpc9WWdWpD9y3sTQEIq782KWKhlqMO4k1898K4VuFwArpryuE8/NXsMW/qBF41fca
gVqdsEQW64iECYC0P+7MdKLpbCaYSDKYCS2BCt9rBBiEBBXjgeDhTTG9ZDF876ed3+RSG7i8wBTc
Ff+oRrAcvtKP1brLBBXhL7GUyGrcn1MdNF1MrdGJ8Crw8q1cbIYdMQ+EmTSXBME+VjgRq7HzNjPe
xGXXtCvy8JyV/V7HvWgtNkbl2UymFFt+mZ1GVv2r2UuQtw76RuCCLBY7ZLcYI10ckkCZUO/Hnudb
cfUqegb3nUtOOsFqgxieHHyWAr+lvRgv4zD64njZRhtU+ED0iw43OD2FuQrWMmCzw7ddbnu8nOVi
6gyF8YQzHhTnYvjEeNZuFMFqLJiCd8JM32jcsVotRlG3TBAC4B0t0+gGI+3zjKdUW/wi3mIzLe14
9lOcp/ZiQe2xeqGThKDVyvLFxaca4VfNacGQ//Ij9ouZta3ENaxYtnYEAeN2TRbba9LAZW9j49pO
kmu9MMdVHJOKoxa7bLYYZ+mtB0wM6hXfJqNN0cfkO7jZdo5sug49+QTD+JqOA9ukjuKhhbR6gTj3
rsWxm+eCmCXVbJMMF7yGqzfC3Rt146kqI30tVYSOGwdwKMDfhiWnFd1BuSp7Gx9f3LobQBjzPcgI
gPil3aPrlAkFAiZjJi/JFnzMV20xIIdkU+Ap1HlqLPZkU7maX+FYdhbnsuVWHFpBcDMttmY4vN52
CnWszlmO9G6xPxeLEbp0NDC+lGOxBIpYf5kYQOzakGCCrIrybRpKjHk4q3FCMJXB94zZOsCyXaNl
lRixszB/7bwI5/di0maqm/vZYtwecXBnOLkd0h3OaFXx+S02b8bR22Qxfus4wONAQIlfTOEG7vA0
QMwhKTI3yWIdd3u6VH2xkzcGW9Swn1/7RjexkpJU3S/282QxoveLJT1ezOnz5J4pQwBFjM5bU4EB
atiGFYpUD7PjUratZNyEQ4xZOpxcRu3OXYEXflhM8THYLNIPZLbv2DwSYaCIgsZEH+Cml4utXuU0
vFTSVBeL6b7GfR/olHW1lVl77DRPXmK86Dj15WLZN0Z2T7mG2VtzkcTi65+jmtQUizWVkjWkrdZz
bqgoO+u4oHIXLIANgWNsJojWCrpB9DiG3PNG6hKa0vc6rcC4nczOvJYqf4IGyTLcJZ8iaAE1MSB+
GMMFeEJouD/GwHwVlteyJIs5TUu8K73aqYzWPCbxJGhoCkQUOifcAzUoUnbbWCE/zWVwBSHjoh+9
dkM0ynvc1cir4TEb7mlw0bh0yWmeo52R5sdIi856QpVbgkddWVkPvqKxbnUCHths18O2HsXJNQF5
IFw6oN82fCflGycmrVXWSdf0d6eTW1Cey9Fk+WWQT8dSm54NghxXtQCrUI/kbQLDdo7x3G3dMRzB
tSSy6x4LVqAl8RQVa2cs7+Wdqfr2oRxH9TQGBuZMR2+HhigP1/4SpqV97NoqC69BiYXuoas160sQ
Qps+J2Q/73IvJQ/dCx5FRNCjPZI1gzCGrA6ul70Fjx2kG2WE4rrzbZitK67Cp97q9zNyqBVV/T5y
iAKRCyhOxSEEhjK4cef5aizI3UQrOK9p7q4zJ0zve2Rmfl5BgW3SzKBySt7DRt40Dm2UpmCpMfWE
Mk+Igazkrel1X/NpeKhtvKzcxWR5MElcxAa1Pl97Vnzq08leV5X+LEbO8bKA7MKgRSiRrbsuaPd1
psVca8HVlOrGeupwjmhoDUGuK5EeisXP3JrFsyyHyDcNvM4S03OcJi8GJugyGV9GTNEFmHp4s/Yu
sPBLh4tzWmKhhnZbDCVZgESYUf/Mu7iPd9rgXoWL+3rAhu1gx0ajeQgWf7bEqC0oz/ElsFPIFhe3
zBWEOXzd0eLwbhavd7G4vqFmkJNtxMxZmcVOWMPNQRfrXJVqBRP1Nk5sj5gTeRFgKC8XZzl7sAg3
gPapjgzY7LjP7RDmQtPgdsCYnjrldYlRXcMivCbb9DFxh9dk8bKrMTupxd0+jN0pwHVhY3vHQns1
LT54A0N8tTjj+6RCI6JjzXfhf+Cdx2AfrgltFaueXrtgfbMGjgchK9swF7+TXmpSzVpvgE+brVq8
+abbnZLFrU9T6fAfjltEWUdrcfT3MeF3MSZ/TECcz3SzkPtXqRbfYYB8rkECGDV/hr1ugBaQmvyq
dXyDzQISkBAFchG+JZ63tyENlBp/G8Ae6AZcyLAIciPa/VtPfqsnqfH+up68eG7bt1/tZ3jVh3qS
CAwGvFRstG6LjvfP2a/4zVz+2EUk+kfUxR/1JH41RlQLyUu3mA5D5vpPPemRAUrsGBBV/pKy8h9p
sMja+LmetIFwW2RxGLqFCsv7SYM19N4SLOeoq4lZqvSjIUgwZEhM+OEUE8xpBKduTkPTn5JhSB/I
tsGaylop7g7VHC+IdmdOL1p0/7OfjEZHKaaqooQ/WZiO/TqiBV3qhiaYCSlsaJnZUqMjEaH37um5
6O4I18OohbLFCjYBtHvu46pUTgPmd1mB1E5ozGBKU8WNMpdovVeyD0fh50bYzL4lBc7chafArjQV
u14HZbxrhtCy7zMBlXQLiZAUCEEDWzhWt68ok/ajOfXJuzLdcRsmbJz9MExQjkOG1fcRrJajFrjZ
S4ypd+NxLoLar6bB1zL260MO7NqLkMTquYbxhxX/y2Cz9J7nHEOHPmkRzT4gbHuK3h2lkU9VuO9M
zqxVlxNkLCv+rtISrLhDj6EfkdMpCsF1uEuTHsY8QJDLUjY1GiNmKVO6/i6FnIXmctXwkGSkjtSM
cCp9T6YBcy1A0M/CXVbJcxkeq0bLrq0JcRvMcm/nVsVbKmd7Z2YkfmHrtXZt2cW+Dhqf4gW+v2X3
2XWqY7Ii+grd9EBSc10r39Ugloau+RbBF9gzQ+eyWIK38tDioClDwqwc7aVKYeg6c9avmda4u4h4
NKkCItiICOU0Z5C4UQ0MxqwjWaMs85aMQj3ZGFqUnPmeaQNKp0TaM6xjEo82qBUZIUg13XheYO+U
V+Z+uwBayyX2ymwsd6X6AHTDTFRs7pqfsyI1aKMpOJrG0knYpuKkrwH6WFHI9NhEdiDh6ht8XYhj
Q9XdyJgJ1zyJGk/ihOeKJTclvO6NfktGwoKsqPxRSHIyc0COwVike5HBgGDNl+//PTa/HZvoZ/7m
2Czb//P/ivAte/vV3oyX/nl2sttmUM9Y22Bf8gPNENWQRyduW9/yFRcb8Pde3PoN6SqyV5f1E0Mt
Gu4/e3Hj97U3x6oNxQ7M9D9KEGKR8EMnDtZa15c1Ap0/Z7i+/P0HQ0jiSsZXhZdc9rk/2xKU786q
Hz98MNffFuUfzb5YiH7xLuj7cToTN8/4gI/n47vU5GyxwbaTy65M4mxTujpZfx50gXVAoKGfmG2D
0MMQFzJ0CzA9UbLO5uA0MM6+1avoJotBzNpRfKF0nVm80Oy1cHtsgiLW13oYHZSRH/ohOseDt696
caHP6qadjHM9l6exMa/Y2B/1JMWxRhD7KtFrKO/L8RL04E5iw/sqRgySVPL8ZZeOzMn695htOqxB
BxYCgkd42wGvHyWKzAkgonNU2pzvAjXKTafRZSWegWion3lqpF2Ba8GwHgLTkzuZ2eYXI4fHqDGT
2cV6Gjl+1NdV5pdTnT6WpcBztkTd70MP/tdBmEBdmFS6l87UTozOQJjBGADhv+rMynQfZqMmD682
sl2jzY69E6XCnwfPm4cuyU123k2kV8MNv3JrQzvz9StmAoBaF9NiuRTcTO82DtpJHgLIGBrpxnsz
s9Jjj3zHveb9WvOLPYWyPRlTSTWMNfi2lI09XkcC6EQdTt7Jaxx5xNgaPuExsR4HSXqgm02I5LuC
tslFtNWsEUyree/yRCZyT7XefVm6gCbRBPjwD62NUY0RjSD9VB2G02Ew7AGxcy/9js/8ApxX+9yy
uBkngC/T6Borr44PGg5THx0J+1WQ2be4lI+JTmCtVwrvFkmTWDEYhSo0ecjgKvj9Y2oR3iDQa8SP
bm4PF/zqho1TM3NpOhazLcIPNkhjfHQgafuSEfSu6zKxLrzAumyjgYZiqtudYw57ZRX4aUejvUEA
KnjC5Oe4yM7wxYot850bq7QJfugJmnayfRmDoA5N/br11F0n5HCPy9J9x9rNrindOGp03su439h5
u0mDWnzStX5LxwvDukx9T2NQ4TIBJpxp1TrV17bt3oq4eZuS6YE17qYxh6M35lsOECwt846c3/Pk
Dhs6rD2ymIsZ53LYDC+63bMS0rYZib5mA4ivn14hT/Dceg30XmyUk5k8xVGip/bwZDvxSzY7lu+0
aXtkGxCuNDVfED96MEPj7BCdqvr0qeLX13aIxclO8klN30JQ3vf6TK/a+mEO4rzW65UJ2hCYcaEf
EhtehpgYLkt5zc94a8Mh3ozxHLL7CUCUDXp8plcFyhQYN12GzlXV3Sk0Ri5meINZPaJ3DXg2uvl0
8riJ9FJCsmwITXAv3Mq8sMbyUZu7dUqr0hvhTVFXF2gO14PhXeT9cBN5bJ4MwhkCZhJhOBJJRBxR
QrTEum/K32OBLlMt/VKm4kvFMCBu01OZucekFzezEpsMnluZZWc66HWd1dNplpJajCLBZZ5Sp3Lf
k4DmNWw5IhrqaVZHt5ynQz0TVg1fk643IGQkKrLNFIKctkcz3dVetQtazMLzpNXbvz95f+GuEi7C
qd+pEXiR+OePJ280CSZATsa4sk4Nn+RlskoHwnFzyJcXXW6qjRyADZakjOXV/Caqur2p61T/5M4u
2d3jeNs3yYU+BpvUk4/62O3qyHkv0iRkeoZnHbo7MP4l9mLmms6WrK7AbteKghR/A8pQ6XZ7iGAv
UFL7dZy0DwaDEx/vLDBu5kqrrFiret2OB1GlbLuCYieSZmeABc8IrSNB+uuU5XcgFI49c9i5zY51
D7qkKi/c1vB2nZoAQE3x3hgje90CM3cCSFIR4b0hs+dNq7e31tSLdRU5Rz3yuK/RN4FTENiqm/E+
iQcy6B3WicZkXFnxXKxrh+SYMU7PQzVfRm1ySJW9s/F64yuoafpTxnQuVMLcDbdICH07rC6YFg5A
VYyrOFOnrM/3PNegKlSAPsupZeTQXKVJdotRlpUWro2NU2gxyTUUe01zHZvtsMlJ7KH+S+4tAo5p
MOJnD/pojAyflV1FKPy8TdN6ATPuRJWjhxVPST5tchOWuWftFeeQ2ZZfS09e6LU+YNLSvgbCmVcV
iSgsdkZyS3Jx0KrlLOsuYul8NvRsq+v096DjnkhOEeuknVL0weGVOdtiA/xo4e4mpKLlSf9QmqQK
ohxpGMWr/PD3lyrKop8LEQfbO2xnUJ+utXBPPpYICSgi9MA5jMQ+3pjJkdH76u/f4UeJEF/SlLSJ
7NRhUaFJWvSHH9/BdDATEpYVXmYOQW7OFXOdfVzdNopo5yZbx6RJe4n/9+9JA/rDz/Xf77r83B8K
rL5Ku8oyNe2sT8UdPkjED/wfnoqf6e6mFTG8ybpz7UcnMA9DDw+aiQ1pZIVaAJNxuS6a+XOpyYu4
I/8aasU285R4cSNLbnI9uXfcXG3CdDrJzHpygnQ8isx0eq6movT7WRa+W2nkZVd46mUxTYd+lOZL
WSTdFlGE6cdx/Jpxrfq1TtQ9J/DEasTR17TUd72VzSyOGe+Fg3HIQ8AsU/eVJeOeh9Kntmm2TqvI
jLeTvalHGsIFKpRMFcVumnt9XQPq3DTKpoWKx1sjKnAnxuSKmKGzAht34qJ/r1tlrNoqPjSWRkar
9WmcATzo6dHuShbwCxcpDojDS7oYHmVvH9I5OaE02BRTYGzMjLm/GaScsvrjsAxY4yQ/u9G4Kxrl
D8HMFaz7aRfm7IqqTZnk7qqaExKJs+Bcwc+FsrQXpTOv3XC8QylJAVdpOFTARJsmmX+z7HZaFWMO
7ctnJ6zPjZ7f1Ag4kR53q1YcBxvE3mCbJMi6nIjYYYoJV07AomBo+svK4RkJk/pAX/fm4oMhcdZl
rG3twsq6kCpb/4/L7X9d40sh/uFqUxYlhgGi65xcFNfhpbatT/WD2s0He+9cuDx61q+GWrH0PhMG
ffr7N18C4T/cwt8vdVRuCAQNiV72xzdHwekWKciqc7WxV8WFsa62mHXESXuUW93X76+09cXj4CfI
cp75n+xyutBXx3gbXJoER/+P7+bHxubbN2OyBMXk59BG2T9pdiddMZQVSXQZ6ddg2Fax/tgM31rf
1/H/hm9MTrMpLIuPjc2PZ9Z/v8ey5vzwac9N3mtRlEU8XN/CZu9NN3//if7yZ5BoqOQyR2PE9ePX
z0dnRtRR8/DWrmuP+8Gm5vx2Qv3rPrX4NP+6fb+jdsMn0v/3Hn153ffeHYOpxfZ6KZycP1ykf849
TRL7PArrRetGRBQ3w/e5pwGMy2OzvfhPl4zf/8w94XSB1BJADS3iAcVC9/oHWjssqz/ccQjT6aaZ
AXCdm5bDt/LTBSKCvu3Thi3A2OhyWwyW4nENXYTEoD0bY0LQJjyamPP0K34I/aRTAXCOkmRyQFlX
fkZk0p4dd+lGTLO+S3rH2ttj316qNKi+VkSO0r0O8UWUAeFcuJ/xuvI0uNi50MbrFuP4VZ0k1pOm
07KIgJtxHQQi28xFUFymYeV9Re92O42ZzfZEaEcDNvludgkf7NzJfsoG2dwpg+akayN5SPtl5Cp7
DXS3jUfU7PUOJXxrvLEszj7belbsIbrD7a6C9nnAK+xHzHB9JOJqJxMF2ikaqhuVFOjPIb6GcVht
BlJ08EhqhTW8lkS4WydBV8maAgg90Pm567U3lFDLQcG2j7Vh0BbNlYwqtEvoVqK7KPGWvWMP7Wvu
kOWrS0zlpbPSQysaLai2ypVIF4ZKaRvbCLP45GiFxlShz6YXvFE1nG/lbb06GJ8clpXPgEpsNGPY
ELdh5NjHCbXbXafK+dm0bZvgIyPWT6FiOBuHDD+DaghfuJJiNuLz/By00fzmxOPnhm6hCOOjtsQe
5cIBwmg31R5+WQg+WPTTLsVlcwoF+5W0HDmTOxbsqzEv4QzFKoy3LfQcevkhJ38rrR9JDcwOAGvu
zbSOaGtqqhNdDSvbbbq9k7TOnRtV+aHTOu++0mvncvRqnZFu6aGx6uzyU4Dn6q2lx3jRpNKOZsYU
oxpzKDOCVrUbCFTWtHb04bbUHdyouHqXqCUPUxUUqKjdxRA7O1/CWcjN7AFNI+A5uZCJlZxb/GNP
gkhDBFNyumjTuXya+1E7cfGSACmXDWHYBJ+Bo6v7gnLOh7oc32nxWF1HA2ysguqQTtWyEIW2rSWI
tPeijmgLu6VDnpRcApScvTEYb56DeDAzj3JUJrjiht6b9a94A+MLepfcgpVXtcQXoWL7VqH+exYv
1py/PovPzzDm/vsgXl7050G8iJ5xH9AgMErlBP2wgEL0bOB5dGwIOosx4c+DGGWzaehIoS18AX9I
pb8LmuRvC97QYrpKN2AxmPwnBzEK5p8PYgwObMgsllB8F3zBH5/ULnNa2PEEMJt59FBz5a8zynyw
yTW195xv3drZCdaY9qRR4HsPAKO4qnqoZLnnfEpcAq3K7pAniQ/8Kmg3UpID4sdMJu6zJf6yNPSb
UCuaQ8cqngMwS7QXHOfsWQoBbeAkgyEfoc3pmIkzmezbjglH3if9jY52Emq1c6fSpc4lioOIQLYI
hbmpojlFjVB+mibtAdrVvck5u9INVAF6g8JFm0gTc488ljZkO7w2swmgq1CrkCi4KjGuWUw/GENb
kBDPbjfolo4ZK3ofFO9Tg4MxIl4wsNB+Gg2dhm2MV10jnusMuYo9mP0GlsjXWuXzptMZ/3ij64d6
Bxu+jMQ2xU+LnVCzpoMaS22NyvQkenllkrrXi+g093KNJ0uiko2YLxnDqRmqx0j3njSs5cwhTXJD
W7+zIZLFuAWbZL7vGrUdelFdikChVijfDV1Qpse3Xr9oogieq8L8IPLpIW37k1YO73qDKErXJrk2
TLNHKDsMZNqlHWG36b5uNazgkbOGF25sAoPq3qYEvjLYs7GVqWnlOnL8IjKru4WqWyYMLHN2a76b
pjNR9mR94Td7jabwWJgIo7sg0VeE7awL12Bnbu77vrkKMiApJn0Z9timrtj/OX2+62ywgyt4/Aez
a9Zta5+7EdqMWRrGOiqGrUWMagpdLM1GAl16pEfF+Bw6JcZ31BBlRmwpyAoQwUhcI1N71htAn81A
+IpIGcwgbQeYgxOdD9Z3dWJdjD5ySGg0IfoVzV3UMhY1uhypqhEymZUkLs5Nv4+GEVaCk1kIIeTG
RS+2Y87REQPP46JniC8166DV7QPLjb3eGw9q6MQ6jFp907WGoA8wkgsWrwiM8K36kQ2RKhjIpClG
YgiAXQa7SQj9shpN4wYAJQqpdNh5JLmj8z/maRvANzaeaQlsRNFTfCVNg8gdvL+Tm2/7rlUMIONs
baviZWrLrTHEn8sQdrIHci8kSHGdZFN2RU24goGw+3Co/aJbWM6A/7gI6UDYTfMEp47H9YRxcVli
f+gWKnMElax54irL71Prq21v/ucQ5Rdv4aH3xB/y/9k7k+W2kTZr38ofvccXGBPAojcER5EUqXnY
IGRbxjzPuPr/SdUkqdx2V69rU1EVLhkiCSIz33POc3hGAnv7tB+cymBs4kiYp6T50iXnqbzN3X+r
wX8LyOls03+yRr3m34qv0Y+qy+QPvlunSIpSwgMnRrA354/+PDCY0pNLxAsINx+PHHD9cWCQ9F6d
lKnLfclOXp4l/lin4ApwglV/5/3+g8OCJT4dz7n/LEO3Md6SxHMh8n2af9nETxz8BspJU1IPCgcW
S3N+9Qdkm8Sicawz1DUj+nU9BVlKLUhZX7t1plzpdq8YfMeL3IZR4zJDcTGoL7tGqx/w6tnTV0tx
WjLgfrbQpdM9Bgu+aHRn3gTNwL+xDm8AsJPalC55cnbjqi8Vd11joc/LRP0aVLjqK30s14V02g8d
nv9euu/bgv/XkI78LtHr5/LNpS/9+jMgu4shty/iGCTugDsCSDuTJGz+nU7B2Kiri14mAHjS4UWQ
TzHCAZz3XXxK1ip0zf7SkQmCrI6DFcc8YwMvhnCeTBrUCcMdkHwLYwKm6WDdWOgymTAzLdfbsTnH
NI9gdWrTp14mGTTtITJpKAP0cxlVQbhkq3AVzy0li8QgJjVmPRqAqeA9biJKOBzWfrOleMqRKQpb
5ilawFwX+VvGQqYtcA+qq+YtgkEp77BwZC6jL5G/+FiUE+Agag2Jb9CkZXgtZRKVTHYkfTFezTLt
kTdmcjUSAClkEsSVmRD/LR6SzHO0VpQl2SQoJqBgYxkkqWWkZH5Ll4yj6SwxjJI5iUPShgsyif4N
PXTlpn9DjXNj57u87vtN1pAG8YXiHCMTxsMChsoxAabp5Eet6vwrrQuf0hDcapiLl6BmZD2AEFux
LXtKtDagKbT8rrrQ2VslOKR+CFw4nk4pogDc4ux7OFtLZoXtaSKCA0nJtD2zdhKKWCAgKb3Y1X1l
X+gWq2gfTxzTCFDoWbYxQ/7h1rgdR6ujrHOSeeqoI6lpLVq986NF3Q+6eeytUrmYDJsMELaSs/XG
n64ZIrLBHy3D0xv4CGWctgfCjViuudHgy0DHrSur2guzKJZKUeAxZoKJ2tFt4G88y2WvVVnCJ7JK
F8NI+UnaB9raMn2HJr5srWTuN11paA7Iroquu/PhBDWlzbBbV8pLquumnS6D0UExbxWL7UPGUn+r
0qG7cpzXVhn3UYoqYNqHKYRUY8fhphonMErzmtd8cqb8YGXZ89wre0uLDlmIDy/qLP+YO1hrM7BK
6y4MbsJpDMBmp7s67rdJxYfkhPZFOdAwoMS2v8Cf+xJ09CS1IjqNfQGGOGcApbR9BlONFiGR7tzW
Wjk1jK8aPwuSGdGT74Jjatdm65r4OmdKT+1ZZQOd/SJLb0j9pg0ThI5CKt0oFAhbhsNYFe+cVD3p
ZncHhtihZ8AtBMkAV1z4zvy9rLRra+52NuxVI8tWoqUTgQppescSDzvXSyiMjaj7VROgNMaWc26S
/Nop9G9uwnc4S43X1p2uTQ7cS0hKx6miITgxvZLPGFWDQBlSEPKN11OdhIKVfcVRczvI+1FL4l3d
hWfwXqcMfDXJup0/Fls7KzwepImXWuoVdV60mEyejtCX+91ScXB9zcoGru/WZpJOq/tWNONasaRA
pkdfhSPbGTmpk/FKQns1lcUpL1VnlavFBhwLckQXnPWWyFEfbEfVWXJkP2DLX09phG0SkFUyehVf
Ebx6nl9rS445nt+mr3X6WvjdNY003JEq3WhsYwYa/yp0MNrqNZNrsF00fcpaQI02rVibvYWndLw2
R/c2jWedClQiR3TxbDKz9lzf5Q70qZ+y1bXjZt8nhpE84dbkFryGfjbhEIYLmnDH/nUL6/NR1Vq6
lpwbIcpHJ2yuAxp9u+xbPpWvlQpqFj/XwjYgk4ly3fiUfAUmQ5wJHHN4ZYAgLHrjWvfJYyiUFNbq
QoXCWKrqVnH7rdMoazVMb2JKXFpLu6v5TW3ovAthlStfAS+idmu+ipeN66w1o7kw/IkLVit6Hkdv
zJtlUfk54Br9K62Zj/xVBDVIPk8NTCe+SXDNwsEDhPPS5A2bcGUP/HA3KzY+DcoP+zoBYcsiEZZ+
RUfPxGZa2Bu97R+yLn9uCWpOpb0jY4NFjcBk0dbb3LF2KiOXxWy5CJv941CrD0UdXxeKhu94pASq
471zV0Hebu3W4u60yXr3V6Ad9iViZK90N2lkb53RP/myR8TMLnpfO4YFQkLewUhOpzNsRCy8A1xv
5yqu3YOhjU+lQGSuOZPornPn1+KqqZtT3ljXxA5V5kPNTccOtC8xztdzt8it9JBaAXiUSl0MJEpq
+aCai8cpafd6DfSrBG7O6Sw2Bq8Z5KYnx1ic39XldKHpxV7RKRCiUsr/guUyvWHGArpLby9qJJp5
GDgLJSw88Tf8+Xdxm+H9RVFduHb7ZOLX0ImbxwXx00j7JjL2+231mNThDsjwiectVr864QDd7EGb
8b2kI8ybVe0ptJpy7RrJbVa3cILGZJMY2jlOnJgQIGelYjAABdlbPxHeoCvZKpoLuoDwgwcDlSOT
LttN6HfJz8QMNrE/Xoz59K1UMKdQ4tQCPpKZfL4BDamM3l51XbCqmSV6hCFw+XRelrJIkBze9orz
re+tNaSdTdDba8DhK84xPH8afOnBOK/HLN9PbbCvW+uWtA+mopb+EqaKbZTQPM/AjH5w7nWc1pRn
1lqxS5X2OCvDU1OXX1Gc0doblyj+eOxNDnGZyvL3bkv7vzqhWIg3uiD5IeWbz5pJO9R13UW5clIz
oifJokiuFSzcP7+IFHI/HoPkRRiqqwYZSzxuH49BpKZUQXBNOY3Ol5r4Rvc0FoQOlxnO0Z9f6Ucb
3vdX+iQpF34xabPPlXQKJMxpUdoUP8y7QtzH3XNUiF+Ib38/fPHC+DYxlEdZYiD18YXppFEcPy2C
c688t92+Cr7m6dd//orYLbNZ5jKM/D9dwhcEdF36zs+0HMTDppumVUqRVRZsIuYtevsLXPgPXpGp
yQoQTqwcKMWnE4NMMOmT2kZn6CGLyMCKCoAm+cVr+iSiyWPJh4t8EsgbX2kt4XORuK4XbX1gLrv8
+bv2q5ch//zdwbtv57aviUifSWwJrBQJo2rSXz+/CGPGz7f1h5fx6aMpkykp+6yJzqNCtZHludEZ
1g8PuCcLT0pz0rvmF1f80csiOUjqGw3Kwpv/8WUlkZNFeaxFZ7u6qpiCl3SS+N9//qp+dA0c/MIU
BvcB2OeP1/CpnhROX8fnvAlXGV1sORP49O7nF/nRWwdrmjEMiDNbdz9dpBhC244iqiDq8ikXh5CT
YszDwPURpPYmDujBv/r5FeU99ekZxCPuryt++rAwXWDS0iYSkozHgJggJf3iYaB9fOdkqsHSbHIP
9JQhzaHhfnznmsLEXj9q2Tk+MLXdsXgewSKsrKvw2vLoRFnTcbD++av6eEk5YOIdfPeqPl2S7Gs2
4hiPz73AlUGbuA4wSS+2P7/Kj987k7eEldMS1qdPS8yasFusJ2e/cj2dMJzT/uK9k+/+50+H5DJ3
m8s0ixHdx7euBNRDPliJzzZH38nR2W0+RyZdkXH8i9fyo3fs/ZU+PeCYqha1Zov4rFmvoXNl+TfV
/IvH248vgTSrubi8Cb18fDGRlvSOOQfJOc9PFnaIMdIXeid+sdT96CvEzfbnVT599Endh+0UcJUo
+ZrSyWooq9pcW0nnJe1ZSTap9YvP6G8vi6QN1GNANCxFCB6f7BVQ92ya3or03Pabqn4exKqar//h
jfbpEszS3j+28z7gDQ2r9ExLNtVuoMXi3wW3/62BQ/Zh8Cpk2h38jcuc7eMl4nHMlJST1rlJvyrz
Tgy/l0L+jxf4263MBRycA3xPGLyhf3+8AI9Oe9DyOTuzz8s6IuvxLsI/nbuvb+/Vv8qhzkfyk6ks
ymFZNC9/Fw/lz/0xlIWGYKgwwomnoSFCSX03lFX/Qy+F8ZuoyOPsz5msYf+HKa2mMX0F6v2Wsvhz
JmuTa6OkmbyEYZq2RCj8g7ks+2vugb8ed5g4MBJhToTWYLBWMLf/eI/EtZLo9qyHp0wFD3IM0dKf
R00NHTpY8zw4FyRoL+auEs8iNAdsRkoOE2cYORkwZmnu3dAsblw3smYOZ91AjWputw+N0WEPAXdt
r0TIBNKMlPtRRxIag9n0Ul1PPH0UZwemZhdop66nmiOdXoZgftFD30T/uBaNk1GCrW70NIuQtcjz
a4lYjT2taEp9gV+OVoOG2SIWc2jh6vSSVDUGv4HHNvZrWTZLueKEkdgDsChrYkdZFe4srM7dmQHb
vX6gIioT10whrrNIaMvEwO/rj5ezUwdLt0ctzKub0tCfQyc2FgWz0HWexx1l4/O8cSI380gnsL8y
retY2IfeaR71jFIFkacHyp8whCTEyH2dtvLGhllbB7B0htLxyjm57qvyrjLn8mjUPSf0nBBvLZFG
NdVpNL9LCk4KcKg1iCiMeZAegJ2DdSsfYRv2XqOpJdzr+nVu6onj5piunKbbpk28Yaq51Uhfl7Yd
E3B2PdMEVero+ppoK6SgmPcAmOLgBcyPt1HOv5n9yCHcLe7zMPlGzPbKMSkoK9OvWhLeiqIl+tHG
5sG3/B0T4KuolEWjlh16ELP8RQAeNZC0tiI1r0Mhbs2afgXcjd9Eke8hul+Xk4N5XnXwQOQ2I5W+
iCFYj/scGaCVLg+zyDdppOCJN7vZa7Uegk5+H4sGrzLPxTVJ7JUo2xtcEoOnDGizeG/WZmX3l52E
PNhTgwhQm7s2Edk9IYtxWSfd1dwzxreM8DJnHkafsQqvYuru6in+4vcDrsQQl5JlqmvqUB9QVB5t
P/B0ZOI0YwMzyl9D7a+VCVqsP5/SJCLrr69d/8zNWlzSmHxI3eQ8T+I5EnAFcgqk1vUYAScg/g50
coLjzW2nWfGh0AskyZpfXHEeFBvCRmsNkafFI+zvWhaMJZdWmZ0Mt97TW3juGxgHnBywUtvmWjGq
Z7o+l6Gl32VtGixEwcC0F6cpwg8FUmivuBjp+wpJ329umcJ/Ecp4rEX3yjzrFjr7jp3GIe4TbaeG
NmC+1G08q+BzIJP3LdVQCPSZQKIzpqB3cnHixUuXSfhY1bDPNDU76b52xjy6rtzki6L4niOtN3YI
oSczsrOsESKyjRkga/OHUDCvRczUF4qap3uF6ifPkp3WviqEZ2fZCwnHZNVO6ZXW+I+pUkwex1tm
l5jJXWc+pHl77DRmnJ35NIjsBY2fyR4XHfSruIyWqU+fNrXQTapuTMPcGiVtJrQwHjscF9SWO/l6
SvKlqUt2swbJzAovqDEw9hENAVcN1XXNxdhrMiaR93QAGjO044rcSuw8dFmeMgLPNJAAZAbWVaq2
6A389kHO3L0cTf08TuYFmoZ2GfLF8vjMrVNuoxdbPXRWGAzjw1yBogdRn+6xEFmblrcA75GSbjVI
UQvKZmyD2aXPOKwXbbhtFYMsLD7llDmeqq2V2P999vHvMq2zcv5kmS7y9pVU0g+WaX7uj2Ua0i/S
Kbtkdv3S0MjB40/tVPuPtDnSwCXE70nyP4KS4j+uBj+AXRxnH/62P4TTN7yoy2lIrtBsjK1/skhT
J/J5kQZPYGDmdAwJX8SL9HGRzkow4pPmiMvMmPs1FF5zWaj2kw39srC7B4gKd8l85U/U8lbaSoeV
2bXBnS/hmWhMBoUHybKCq8kTAMamMSR3mYRuahK/OcHhFC2aJyaGXQmhUw2AsZddgRxbA96TGE+s
Ks+KBHtqEvFpSNhnLLGfM/zPIYIc5wf1RS5bzWNZb86EPKfufGaKnpb0nw9R9TJRiO6GxksttMdR
NqWjpBzBKdCdLlvUS+rUuw5p0pIN65PqPEcAI/Y5gL+VNkDgUylkp3nvWZUN7SZV7T6ZatTMeTtT
4t5T5u7SHToJ+8atNwl59MrFw2/Fw10XRk9OpGwHSuEb2Q5v6+XSbUwvozleiwkPpdPlSKO8XHoq
WTHvR+G3godL0FI+X4nh0pVP2SLSd2axRl9e0CRBtvBGWvJRmtrkqZJd9vyKm0a227N+LVPZd99a
pJ6TWGcGbvqLwmqabS/c3PMHg3mvchBZMWyLlhJQP+pWQxGjVIkD3JJ5bQJhkvXN24rC35oJ7bLV
G1aPWt3UYqY1r+/Ok+NSw43Oovp9vglztKYIOTbNuV6KRGIFwBXt+os6TxFZJIYbNI0WzJZH4bsS
BXRgCn6iNPAyK82liAmOA545DEFIfMpe2hbh8tZEuUpVCwyHfH4HqFGeGHr4aglBodSm6goQXwbE
ja7ZKXKROTMwKq39gsK5g4jUrrsGoQgfk9TnrwZbNJ6tsWuqDACFceWZVXyda1m8DPnklNK4s8iQ
V1SKrjjPOodK0bALF8cypj80G+/DpvlCegIvzTD5y1kIEE8Qrb2pBlCSxO2un1p6N4m2dhHL7Qw6
wovC7MpvTINO03ELMaFY1wH4IRbugS7JnaFH1HHYCIh4ioqyPJl1yC5O3VCugoSGFkeABeErNW7i
OX8m97tvteFYzISZENovwAUdVNihekaqMVXLndM7X2II+W4YgLzS04UgsjI00U3ZKXfMfndqXlx0
pDIoAdslYAtZJZ/zJr0TScWbOg8H06j39IMcux6/FwLSVZr1G0yrB7MTYGGGbekWO02esidziyZ2
EZjoh/Vk7EsyYEOjnlUcxeturpd+0D4ONpzOxpzXUU0jVScrbWb7onb1aysq90nUb81k6niFWbfD
NXwy1foYlDbKYI9rAPc1PoSbpmgegrza03527EJzGQbTda6m7Oz40idpuGan9hAk9sYKim0mImcH
AGkj+kEi/tqjkbuR59jGlYmQiX/lKlN6No9q5YVdvYNN+aiOZFIcNU2Xrt5d0yB/6MBQLMg5hvSa
ZI+s31u7672SihWA4orXofYbqXieHXczKMOqdYd1GvVPOW6wxlK/z03QgSDTVzObjEhlXrawZyXP
rukoRpxzhlRfO4XFs280jAsoWyRyRbp3g+7ADm4HKLkFr+nuKYA+mX2694NpWKAUHQcfIlfk5l/6
qCXYUqeX9O1uqsK9rEknsksZ11mlaqvI0u4jrTuMRJSNRMH7F9/M8iPkUPilBDqJKRxG0LDXAuVh
VPuToWmXagK8R8i21Wl40RWMk1EZoBRX5bJq+SxqzVrnXRBtKid7Lg3jOLlZi5BTb5Mi3iQ5RUXU
7dwj/15UTb8IQyhdjXLVc8TxdPOW1l+CV/OXOLVvZqsNDrlVlTs18K/LLD8q0sXpV+nKnK1nrRQb
aioWpsFmOW4J5Q71qG8T2qJ1PXhNJsJiDGXV/YQtmuOsvta00lqrkbGxK+CM3BQlBz00aRGo2ybr
Hpshuqny+TB1wa1fN9tcmQMShs59PkQbXvMt2NaHtgr73WiekwRdTu09PRbQKLJxY5kFbTnBbaTO
zdIR/VYhI9bOzq5uBGVx2rYOXN4a7USPc74IUX/7Tr+BY+2sVA00tlMPyaLXYJEa4tikrPertFF0
/NpDFd1bWdTy8Bf2Xs8xamRO2q/DSsDywIkSOT3fzvlQYTlaYMuuSdKV23qcNnaQu2eOHA5uiT5f
zQr7f72njTro2fv3VLb3gK9MkcdrVhgMKRzvodCn3sjh1YKD64fwpMYU+2PRu/1FnI705inT97zG
k863eJFMJPOMuNYIT+BTtdL0oS8CHXiuoEmL3NNaCxtbWWSxIByWBQf8DeUpr7T2MdZsTm/WXCvr
zhmsq2aAQps6M0ajITUhFPYElVblMBOb0JQDXqYLMp9n3UnW5hivbH2+B6F8HVTEGyodH5aRe3oK
BTTXqkd/sGIpZq5qrSFWlYybzmRXb7Ttlz4GZ5I4T6ZvHPsBYw17dkLQ69a30HKaW1T1aenY4QtP
1nsw4FucYCfVGl/92NhD94IZHKK7RgalyQrQ9Nna21F2BOVgeMLOwA4i6Jao0R1LdD3hzhC1f4pV
a5kmxXVL/AZ0yryjUvlgjdFWq4mbJ+Uuc8mfFWpCxQBWXvp2r9whu2lxQvfFRJw1z29zMoRepiR7
NRp2qqocYdJ7bIU2+ljtWt+ljoCeGLvagw58EKaxT3O6vg1WWsMhL19+9WMwPklwNfrsFCbMAbMf
rmqO8lbVvmahe1By6ku46UZ4CJ2bfoV9ScCeupRCja5rnUoCPfJcM6ZNMoODNqo3TaJwGMwVxQP+
ALQuWBFYXfs9Uwrp2u3cBhirts06/ZF5LyXJ2ri2ACEbHDXYWlQLGAEVT/fkMTVo3wIYvBhqfeUm
jIS7ICWWG99Di9kYznxWe0gSSavdToO2NuLyodCEiveFMK7SR9/8uugpVh+6VRsal4OlXvqBAb24
FStmiyvTtzexG+3cSHXXQQBFI5lfy8m6bEtquXm+twehc7MExWDBhbQH9lKltvIn4ZwKrbjIzW5F
6J1Sxla9Sk3lkLaYepXAWDcNrjDfChmTkPTYhpN4sgasVy5PGoT08TCODv6XoXgYqasoFfGk67Sw
lFH1qOJpALXTrRPyIajevGrH17aufPRUuHT6gjKzoE5jzyqTY4lRKgmU+aTo9Z5Oo2qp46BZVnX2
nQMjjJ+p4mDJf03Q87W+ugnIedBIRqmljX1majvIB3LVtszHUeOLFqukM+sRM0s1mZdaEl1y2PfM
2Ax3djg3B2jP0vFrPJDfCS6G2r9ym/QJ05u5lV93sA/IUTmrOYN248kJGYOU5pU2jNHBNXK4/uUu
KNVbHUreXFgqrptuE6jFUs2SQxVQ9mabcHKt7HvnFPS/GfoqMJzbpC0uItiDSS/YZ8LJbfT2cdKq
a3eEnJyX9mWsBTCn43VqmxPw8vi+St0nczSuEaGLvWWQdOpwda/11nyiK3vnwhGg5yfKN3nPX6xU
2rrQIgZRpJ+2ccowoMFwCXPTzFTjZtRinWNEXSvmCnCHqcdeYghlpWuRP8f/TDCAyu0KVxALZY3H
56p+OkCRaVJHXc+jU1wy/86PzTwuXPPm3bHy/NvQ9H0g89O4/feLQBvBZI1r5i0v907pTXxYL7R8
Ryd12in5UQVjpZi37XD788t8ksB+u4zNUNFEcZP82o+HQZ/4H6cAlY27/n0o7hTjFz6MH/z9Nh4C
VcfHzdv1+b1qqFMpCpGlp3zgRts6PgPwP0/fP3ibfvT3M9bmHeKNkvbij79/YJOAM6wqOzmcO6yz
9btH/H9UPT4ZL/72/nz6rEF4aCEdh9EJxKGSeQkjOXtpMs57TePlz1/KDy4FwogYtYOZxKao5+NL
SZ0A1M9cJCc13mKKadVFCY7L9FiGwZT+/Fry1/5rUM+UHjXy/cfCtOG9IEVZY9bbIk1PJbUYDTs6
j68Wz9SpX//8Qj96Ue8v9OlF5Xbs4iX57UIGoEti6eGadUQuxeUv7jX5S39+Ua4040jsgqHrUll8
95UxrFwvWHhpajTWfvrSjyvL//rzl/Oj2+3dJT7fbnNjsVey1PyUOy+x/2Qq/4fbWYaubFMGwKy3
2c27l0CNpNWaCmWTMU9AA3Tv9H94eMn2DEG1Al8b0u0f36RcydnfC604zfbLYF92eMLU9hfPrh99
6NzENFaZEtwtowPvPwhQw/SukF88YTPE8MzsWbOu+npRlEuCVz//RH5wLUflZeia7Nti/vTxWqFP
gaAbWznlyexJVmAmQrgw1aJgj3X9dql/R57yJvjzobt8aV/+H13GHFovKTX+7/86vtZfX7/9YODJ
T70beKrUmnHDWvBIhM0fvRt46iZypUtSAz/Fu7AIwiQIdh08u6uRI3iLQv4x84TSTsTIRks0ECgY
ff6TmSdod+6Cvx4Nb8KkTb2yxnwGN5v52Q5oKDqnmCpJTppqtvWF20al6kUcVxTIy4lNhk4glXld
FVdXmp0sOyBsMBG2426n+vEml3huaY5vnXv85oSMo/6W0Wq9V8e0CB99SewVLeUcE5Y6L3vD+Sac
lKFYbkvdAskC9LdIptOopD1jNP3FR2L3oDjuS0DBuRhBi4AOHiGalZIl3DnjPVj1b6K0r0uj4C8w
5nIbjBaxP6fYmo171YIm7gt23lmcyTEh3OJyaJM7H5QxzY0oX+oEQGrUTrTNXg0ZnYtCEpADyUIe
a4fpYQm0MRm2vtCfTMlNHoqpI05MarIoqn6FzSnelkYGjqy2HY6XPmjkKnzsEkLPOdvbTUAj/WKW
EoMhxYbuTXcYpARBri5QF9WbMqFLkWKUckUYquUqkRJGI8UMynWCa7tF4BBS6iik6EG5k3WKpBAS
aEgiE9pIJUWSUMoluRRORAXLpJZiSvimq/RSYtHRWnwpuuRSfqG5BDSQlGQIE6LOxFKo8aVk45Q1
ntTMnZqA3yGvogvTVoS2cxMyL2tdHuknO9G+aJVhLilFXthgAY5h39Gz6wDbJ5oYUvWxMIN5rVoZ
8ye3HrxxKujAqZNXyP4PVZMcChXke2YPmxSis8eT8li7CtlvnRspi5ZWmV6PYX5R6vWTriSHeIBp
V+nZrQFWgMOQ89UEnKwH9mWejTCqw9ZO4OBPTJ8Mozeob7HCeD6y4coXKt2nSclg3TB7n7xNuOsy
H3Hcxw89okOusjn4Oo8YQny1KLABcyQppHhouXno0Vj0lUwM021YNR7A2GZphOOq09qlnU13wdiO
Syq6LBz8PXPRiSMIJUSXrRiypaNaQLGDLAJ2HAA15/+kH2YRYgK3sXZ6iSqbECw38ZzZ7DdTGPVL
dVQvbYvKwKSGID+VYNlUtd0zi+g98iH6KmKIslAz/VmMGgOUqbgZ7BF79TTgGM4be1GBE3Dhhi9w
Pbi0CtivmR98YywjhyBQteMJHhaWq84i4Dv1xHRUErZdM2WrQiOPgpXaXTvc+qpmBstcrVt6lRhd
cSQlqjIA3rGL5CJv2uL23/XjDS+qs+j+ZP2A1MU267clZfftv//r95AiP/TH8oGtRVZSuiwTFIXj
YvmwfLCTgDeqm79FCv/0tQBlZhcLXsuysNe9V8zecM0IW+Tlybvp6j+LxEvIycfFw5QLB4oZzbM0
jbwhQd9tyqqiMlsI/OG5otrc2VZv6GPLPmkwdbndgzcuMpV2A5DkrgRdC6FS0pMnyEr12nmjKg9C
EpZp493CETb8F5h8sboahjxV9giI9PFpxL6ow5wVJTibSR7RZF+ZYdl7WqePDBlma04jL21cBCXm
pLZB48ckaBTgqeYSNWJuZc/gvyKIF/Yb4yONLWVhjLAuGerXbkzfV8MaUA1pfQpMSQjpDHARqwB+
CvBh5iTqG0PEIkO8+ffW/+3W54Tws1s//0ERt87P/HnnQ28gyoqtTifaxCf9153Pl0JYPMEJjYAX
xxH5550PDYKtrqzAA7lr/wbi/WPjJDu6Mee5tNuwq6Jc759snCjb+3zvO3i6BCcG+jBt/Nnyz9/d
+82MsbSzOnGJxMW8mq1aSabKCStzqYy0C8+L2e9QrhQqTtOl08I1ISaaUcTQRcwcicWp6dHpIhVR
geVM2IHXwA0wCTl1LJ0rVFGdcOk8WCnbj5a42MPQUcuxnIHS0EqTAKktd41Za+XC7S0xXnWxjfDC
oTxY21aNbDPmDwALQBDSQ9JKT1bT9C0sGLVfUKORMZNUmrXfqbdxrh/rXMCqRR/0J/WaWD01GxoC
ROGXFL9k+7zyD8zC7idAbgBy8SOVZbbpyh0eHjJRAatGJOLIS2xKstORiWPkkH/pfKZ/AAMeMts9
ayqbhTQwFkrXJIuSxq8FnuqSiLxzUZPJ0eWSGnX9Y0s2c0Fn1z6LGDXD0Tg3RT6tB8EQTXQuhLW+
ahm7zuMyaclAgd2jbtoiyuOo+goQ6rQE50mBkNN/U8xxT5MERAlStl7ma9/GsSy8zmrWIIK3kUXK
LdPSQ+zopRfRTwctmPLeajiAXeq8PmKdnAvjRsG/VNmdvvYTn8E1dUY+PeI7HOCMN83iMtaL66oa
PDyz+wgxKRzZVvbyhGdTOd2lX8ypxGwW9svWwIySJtR/mmjPZXBh+tmqLh2aFRjZLEgfx5jSimTt
TDadOkZ7zBQcT0laA+kEWqsFwUOHQ46Mg0ubw8T0QBHBmccZIEe39bSqZWDfx4tKrR+CgsjsnFj7
adJu2mBcUfLdA5ul0DePr4O8P0SWsUzsqFsIMUc0h0zpogTCsK0TP/TU0T2zl7FXTmW8FqnWbDW8
mkBIiktLy9tNaODHMpI7TOT3WVxxkK1OSlgStXMTHcIOz1YnjekSyu4H21lKHHOnGk8qxoelzWa3
H9KbMbF2tKKg98g8ZugQrJiamE4cVQ/3ZUn20XBncPfD8JCzHi5jvX0Y/eFeM5tbs2HbCV5/k4fu
KW4sT4mJA1st5R+kAOkxGrzOTlD0Eg0iNdK10XY3SAfknmKNGfgU7ILGDLZVW113Yn4iTfpcWagI
Y0QhpRtHFR2CKBOm2t31ER4ALYGqXIjwQlGKC9V2X3JsjHCiKt3TC+2GDAfir3lbNupGMYrzgLyB
Hdy4kSPGpROq8DtG5RJE1REpX/Fog16PUUq23Gaeq00vWTCPWyoWt11fm7D8HNfLFSxWnDWKddvm
T3GOL3GSpOd0nJ29q05ULmkE0tS5PkQiWWfMx9e+Dp8D7rhYCAWxtplOmmaSHUWfLurqEtPiHTnJ
8AJoS7oS2viaRO41ZhN7IYzSJ3w3Uik0T9+HHo9h38Ox9QPd9EgLYKtsJKjXBl7pp90NPEpuHU6s
FAkqmATKaGJ2X1ieWYTbJBhfRNjmq1bk+WoULsax6qgp5mtCwhc8CWUDtazRsejTgYP3vaZfJyii
7QT7KX8r3gmrnS2reEo6edSach5nVGjo6jCUjrq5C+gqWMyyzEfT46MG0JcG+A2K6R4WOkFJf5+l
8S5s/z97Z7LcNpK17StCRWJGbkmCoyhqtuQNQpIlzPOcV/8/UP2utnv4Impfi47qsC2LoonMc96x
vg+i+rNb6oEot7qa6QtytOqhWgqEzJndSWBaJO6ac69ZioYoEPDdpXoooYOoWMqI3JFaooz0EXsp
KhoJN2ZPHp/kUmLUl9QdDEuxEXWNL9NSdTTReZT2vVjC/0uCbwzojjn6Zowf41KURNVp7BezdYqc
/GWaeUd1iQt07Axilsunr5o/syV7x8K1ENIoNKcuJksTq2lbvkvD+q4a8TnofBjQET5UUKTIWXVz
Y2cdRdsICLZ17t4MVJ5R9qczwY8aiefDNY7qO35UAhiii6JWcWtbS0jmoBkrRQ2Yy+W+iTxx6MsU
m3fgTQdrtO+NKniOXJJ1myz+yEd8qIE1IrlEtr9v0+HRLEjBxbmm0Cw3A3bdf6akrylp6bD+31PS
ffTadgCl/74hLF/1c04ivhCMn+Q0gzRCcmEYhv4CmEjNcgB28CaAnS8FLH+lkXzVtrAeUNltfS0C
f4nqiC9ECo8M7mt+4sv/lqjO/gJ+fwOYwGz5W9C92oxzjF+/z0ksDQLVKA4PQWYVu3TfrnRrfAJk
pxm11i5VhBWsVfGZUilk2TNrBNOE7ym93RCj/lH28RkE7YHJH1JRr7lETGy/LaIrUub3XtZvnS7w
c260ceS/cMqrUeOgN/WX1qZWLKZeCXU3MXD1a+QmZ5jDD4zg/ihNn1QKqES9OgOkvDsWp+gsUd61
JW7dOO/3SdXsGylPLQEipWFvFbQx1eMRsO0Aw1o+uuNwPRpRjy7KineRMl6zRmwNIZ4j6NCtGyDP
r+p83jV6FhJS5NEF7LRHe+o4yBitOkPbSxMnc5TcBwNmYRQypNpW023BDr5q6cFDlyvQ+VjixCpo
rJU3qo1WEPGo5e5FmtkPlq1qNxukCsZhynA1Bw+MD59ZRSSUKHjsizY5p+Smb+KQIgYEhhlFtq69
dqdyRtPt0Uk4HyO7KzYhvj/UdNoxh3wFTruNGhR3hSeP+qAhS7C7M1krD3XUY4mfbuMp1gggBsOa
83EnlIeln8QpYPpbMJx8ZXnyJUn0O4ZGDTF8CdiQmTnyQfNB5fELfdGbMSM+I/aIBTdjZFeogJJa
fC76vn2iJroD4n72o9ahSCYw0VtG36KE1x/ONDYoUIm1A3/bO6RJVYVp+czXH2WSHjQk7SM+AOyZ
YCmdTjFBzPcRU0s5MhncZQE2Oed3U4OFvaR7hqMVOjekxaYuSK3oZkLex4Svy0w6KvU8tXZ52V9o
Nvhm6wH/7m3PhTdxb+TVCwWLV4SxXTUxnLwW6iCCDlHillGgV6CignnRBHrpCIE3y2tGFfQttov3
m60zbONr0mNeAFhjNNCMMwjqNpNVoP/jhY4Ds4qeDftaFzeG0RJpMeb7VA9OTdgfYHofe23YlW1B
WkCJnJGoBiyjODXagSZMZ0QTlEUCQGp4VnVMcqPBiDTtyKlhRi4wGBROCZPKTzW7N2U9govK4d5L
s22Hrkldd8M50OLtLOQhnIqLbhc3xhDsafq4aL0jN8Oihl1ENT3MXF9GamOoBiUeRDQf0DigaCwK
VqxHvOX8pUVuE3PuGPl6XPRZuRg+qTGihj43Xd+olkeVWKsp4X4iacRNpp5WsDpZL90cO72wD5GO
DkGhC2tWBpPvyivktNPYuHx7MsljIN2BlmTP3DZsJOEUdceSgMltPlg/ehgkglHSH6U5PNeqfyfn
M/HLFpleaI43FC0RDRaTsTl3TudzHA0Uo/UF8gQUA92Js6feJF6FSGmqa0L5aIezC8RAW7OvHPtx
+Cp0iljI0OdQxhGOdUEGnztR/uT1SxGUV7CMsH+RdLi3PAo7Vo1J1sE1Urm5v/+zZGqUjWae+qkv
T6NdZNFzoyxjuKRdtS9DctSqBC6ntFJrG8foSyjTe9Wb8K4N6Aun1ORoWUW/bbRm2nmac7IBCDfs
sWQrZc57XZYtmhMHm1piPae4ftEdsyfoJHIezZIPc1qQgMIfp7LRLr9XgfUaJY2x6byEuVUxP1EN
TBxeKVZWAeovxFL11DXTmrSS88z4M8Uy2aaVdraK5lYL+lPuld+HePxUmrkeJ2bqVqfhIaxA/ltz
OkbzwSbFGeC/eo2RFDmURJHgY1Pp5+hUBXTjvTCS66BFz5PMRA0Zn0oX/C2h/ZkO+VMhWH7U0Zin
ZGPZDVXizV06cfSIiLIPmjyzUxa5Z5FmYiOncrE+HSLTbABEJ2dNNwiwj5FfO26qNiRqhb6gWNbg
xtyM6HI38dSflaCIwsY/wrtQkQGObKMtsSoAKnO2W9XGlbGLUoi9qQi0hy7dKDv8ZjSAtZ6VBJtI
g+/wUjnyzfHByFTuTSXpdJrIuDKJemRNncpLPlXkRJXjVeV1xsrzUGSGunsh2+WMvytfT1VwkcjC
KXvah3336shx9qnaup8zrfZVvrQ+Si4QOyFwqMeI3o/FtzIrj4nG/uP26rmnlBptHMaNtFPlCuOk
tm7K7qOV8pEDeiuq7CrNowWOMPdmUj7WA6WIsTuth1Ac6tG8GbzqTtrlW8xFx14rri0AaoI3g/VQ
WMEuUHqztkWDHnngSujoFDFs7MlRmh6kPXvkfRVr9ux619rxuCZP65LG/Q2TyLYwuqch1/fkCYG8
9wYfwN6a/FTkA5pCr95ISkF2WsjvuqjZNw6RgAi19J1j4KEjslcSVZNdwGCSled2R/bjBk25PLrt
9JihnfTnkkuQI4uSWhXutFFHUSadNTAfjVw8aYToGjeOjoxPa6tFBiYgugxqxAbSjlezWQdol82D
ZcU3FL88aZQobrXCK1Ycchxw9rhXucEjQTaR0QwKvZCZb5xyei/K8BtCjEtbuO/KMt8nR2zRnz+X
aUguYeWAB8SHIK+eRentYc7uR884mQm7Ic0la5FFRLOMr0tcW+8SXJuqY9jHtwpYYSU7cV9YyyFO
qThnfbT+Z+z+E5xkSv7fY/f1a/Vfhu6FOv1r6Cb+GwUSwiCiDCxSE34Zug2qwCCPQBjFEqiB1uKn
jcX7Axifwx33C/aSLy74Jzjp/aHbVBqSq7+QxcL9W12JpuCl/Q7ML14ZWF3IY/BOEil/H7qbus0t
m5KAS1W1ROkgHVs1EnaosudHPal3wcKjjXq9Car+TfQBxrqJrNrJOrV2kIGWaI9yqDfCns+2IuDG
Ju7LCEizE2F8cWghngOPgT7U18iuDb8mSiqd5Hk07asyL3deKPd9YiAUxRvqUbu4bsIiIWdsvHfs
st9iM/vQnIImQUlSx2CFZ9ehjkGjo2/l1bY/Gyy8+Ah3OY+GsAlurgzvya3MGwSdFxuSetU3xUAI
0pBRkDrvgonBd7blbZaE98RqrwsbuGW28cSGWSkgHKyPsQyTs1J99Vp0fJ/ZHnZKawiWpiEcnnPP
4iC2XNNI+bMxQuQei44EsOrYizBdZpMCw6srN2lUr+PMJuw7e+NJ3HQzL70a2l1fN6T8lLTSTIrl
3xUUU43pHn+vP4WdXNdttGmsTD9Qt3UyRRYfdbrAAzw8FL+Iah2kOEVSKork6NzXeuwQaNp0axxB
/BSysS5e5hyKEUihVMxTdmtnB7a/a4c0V7MounXbBd/b0HtINBKpYs3cW3PwgfqMM4op15NOvmmx
6hAXgQFWs6x9GQUtrGEuHvC4kLM12Qe0udPGCqs7WOg9OYHuOrKJfQtVW6/LuA3wzw+CiYG2siqR
2xiZp6+iePbrACzHDtP3Rkd4O9Q684imjDtZ6x4UTUrQK92ztMJHGw1KfjuMQqbIeIycQMGgODi9
Zu8hXMb1qHnpofLszeRaUDmWRZeY4Sa7rrSzet+0YRnce6OnHXUn+hFqJctikMqjqiKMnllzaOrw
ARsOqFxn7C2t6tboevw26m1/8BByDkV5Krzm3Lb5ZzlxT1hqRK4wPFctsn9A0KfeqCmJhxNYD0H1
jEdU+G6rrvpiuspzYa0bL7lVnUeje8kSO9pnQEAeCe2pG3WxtihDSwzoYCe0Li5seu8RDhgDB5PY
WDIAtDuQ+qvMIUFTyO674mZneHyUE7tWjvk3NGqQUYqE14lex36TlO02jgq6gtJzFGrrKQsjX0h5
LjK57xBerUdX+xEH8SMl1PU61MKICmLxw4yrpyH1Nho+2lVDpunr0Ni+pmsvg8U9N3be2ZwAkHSW
qVsntb4TLHJqdfeHq9oTkuprpYPGxcpi4LEvU1ka56LJd5nAt1C5zsmcmjVlRoKFL7pjRmAjiufv
hvuQar41e6cqjrdyoAUkiGLS2WldiQcM2l2a3RIpqgGYNi+V1t0ltNSBcqqbyCay0jE7xiKK6GN2
bc3ZqyVflNhkggYbsrGAC1dZJM+ulAQNphfowHVv8a9ukBw2uFO4S3P1XTpDt+3yZu2AJ9hw25mW
hOtuqK/6UR1kFb8RKkkxk65jFx4lspXkvsvsN8m+u+knWlKL2n0KNfrX9TzgIS4jZAyEyec1Z+FK
qmzatYUx53+mMf2jpDIQWv4fN+7H8Prjv925fNVfd+6SoIsqSpDVYJKEBJr1F9Clg1kJioY5Czzg
Jq7Dn3eu/MMmvAGSGoaaBswlmOHnnSv5++wv4RPQmP73zKOm+btw1KZfk3RS8n2Rp+Jg5VX8fuXS
aFWZdhDPl7i4MWeXqyPAxTTRozApY1yJmYYuaRRXnsruvNl6m6tMW7sQOwR0M2XSno7Nu5PHNpUX
UwAZT5rzRn3vOevlk1L1ozkWn2TTbWvNqVYxmVNZRamD1zrGGhh2J4z8iig8QviCQa5ShWtAMC1n
yGoZhNMnB3XT1kRxDJBSY6sMaH4z7Oc042M+qzd6hDFMspuMdf+Yxt1NI63rGP3+jmyY+zydKHWc
wmswqmM5DtVq1tqT7mE/mUgiz6eSn1mxHZur2usPvRdtUYoHJHUW2yLSvvUVVgvudJKUrpHzbpVF
dSMZBYGPcIXAtrHfQLVsa29ZiYhRoG/lB+TWpU11h6rher5XQHrxEJBbXrVrVU/cf4kZc3Fb6AwK
LaFH0X7JFf13zhi4SG5EdnTLWG7qESBRm4KlwJg9bFw8o0uB38xkMkq1MnU4DOI52eDsJ/gFIt1D
GBwMDz2X9qq3S2jMyQGRetTHEck8cQ41/YZ1JyidTrqhwdUaJlw3UZhZm6DEzcnidIVvyk/beSey
aa/GwfF7sktXSRjuJmENa1cF2PQJuLRclAwk335UiX3ORCtXZJl9VxbTGslsGDeC/rEriu8x0Z+B
TQhwxupmUajR97Seugn2mmJPdYDmR2lls5UNZynof08xKUaR+DZbzjGvcI3m9vxa63b9aOVEduYW
N/ywGqvxgIpiNyVJABcaAB/GwZ4gMIoSa/M001S9khqJl7NGyYzKvSdtIArWqbXtKA0CpAdYZbgo
LxgPSgJBirJykIAVBHtolDLW1S6OI3clXLR8RgBUQnyiRjxS0/RPCodVZhufpcl7xgH/LDwszUH6
SBLnS5g3N1MEBzF1Hlylem6bZa2HVMIY6a4znIHF1B3znjZUI1HPA6gdEM1rN8e+axsnuLuNHlcv
4L/dJjCxPKYCE1PWZA9cF48RguVV1VstLy09EQbtVwomvXNfarRyq6Z3zg0KQxVZO2EG33Syfndi
JqO477/bXnhHMcPW1YsL+YeXqRKSZ0wZkMgw3LVTXKl0uDbMcJsWP9IF0sOp4bdjsCvjUaxkZsFG
2vNNTIS9JwJ+ha5Nvnf7rPp2WqM6fM2DoGCXTru1aC363kIDGm5+cBRDw1RmwKWN+0ByzIkszxfl
RedMTremoe0YzQoKVOWPYIGNJYCz49a0zuV8AIMl/nXyg8T4sBOQi3jQH/gYP7sdyhk9KK+72Llt
pflDqrnxE228KQN0f3mrW2v4PypRg8JeZU4EyNg1Ok0RU3Yzp/IuJQ9ksRhRnTjQxpbPOhkujnyb
gu41zeqbQG8g7V072LSjgD6fa8lYY58qr7VulOntqFeI0CEOdXJfFfp7MJugd6l6VGV5ZarwTcf9
1Wf9vM8DqfldalxHqDxXbRW1JOZizSMJ5KOsXOX3ZGWQSlItqco1FzuQ1cqRLvCrTUVMYDVXrM7g
7vox7vVDFHV3DQ5CMmjNg6Os66nXTmXOTxmn9abqQJFspVlUeYabJMp7nLXW5p8l+2vJtv7PJfu+
zF7/mwZo+aq/rnz9D/RrOuJoEhBtZDu/XPnGHxbklumSWmhCK/FbP69874/ljwJfmSjc8SKxgf+8
8r0/GAGgMFEgG2zIxE/8jVQn3Vt8E79xW6zZtFkyVxikT5Bc8fudb3l50gBWzRevC5sbN4FQiPXK
fSahxzjOY0rhpg6x7XWDOI80IK0GNUQbuCP15Mqxu49Eme2UwujuyDLwXa1r/AKZGmoLcZ0tU+5g
6sGVbcvm1pw6vn7wKBvs2T3oxa2mvQYzMxmqXrVdRKpKZabvcSCKXVIwQKMVQXBStdP3PIrCY1kv
eQOUmW6MQsDue14FazU/SQNr+FJZFeTusYdopDVLG08F6hK/oXSaA1gG7BzikmKVh51Atisd0qmi
2N6bjkGMvqSgZCVIwwe4TBKMiPpo3XZFvqmVCkHxq5doCgMcmsM6Tqtjwv6KubFID4aSFKdYrnET
6uGzSGceSrPZWlVxa5e18FnBtV3nhOqowt48cp+5fmZmJ51+kQNtmXJDHaW1S7PC8gdmmr2jcyEB
jKfHOkduE5TDrWrYvKqMdF82TLXSbBvfqFeCcsrrxOTKGmbeHY2Wv7t4pEcnj3X90rbESc3uWB3q
qD32RvK9rtyJoHEC/8F+El8HGIjCmuJhDq3IB09sNtmCIARACYmlMSCBLUyADPkX2rDgDjhkkvME
FKGlYBLEeZase+AUaB2JrwjvHdO9zV30Uek07QygDSMZO4lHHryjAfhgqb4pAUJE2HIBAo1UQCQI
k+mFBjQJFvSEInPyzRdEhb4YVDhFfmoBW+wFdWmBX4aIxb0FNl5uQ2vFNntxAWsKQJsB8CYBxKkA
c6IF1VELvuMEzs0cJFsF8JOrmAoIoCBJMgg7PeAQPEcFWOSZNs5m4CMn6PkdAKXcaN7MBWGSQE2M
Xjvuu0cyjbA5BRWysgWXQuHGAlWnNooiRv7+3fJUs9ZN4jy2QTldyZFeAt/N4/RKd2qw834Gz0am
bW5cvZmuQhy8h38O4z8RT9al/71/XZrXIvzg4P1yt/wiRearfh7GOgLKRVvJmepZX7WGf+1fOvDl
EoPKquVhbXJ+wTzNPwjncdAh05dCsI79y2Fs/mF6jsP/+GttoFLjbx3GiyD0t8MY7BT0lFghQvsI
mfW4EX4VZNYOrT+jKwL8BDr0kcpSiUJYBidtqsWpcFu4Kk3M/XcriY5xML94oa7WlZu8mwM9yATw
jS5RZSSA+LUpEnLF6sqfkhjcAAln+UQAHp3R9L604RLSAlwJWWgwQZvNq0Up9kfXi6DZGoXNdtAC
yhQw7gXD6jZC8Vn7XdYacp011rCtm4TiA9R9EjSIo3hhN8FOKjjtxJ6WDpXmU6OulgGLB82OA+Il
DCY6OEOcKmjoNBPsjdIJFAJziJi0IdSdPIZKlQC4ApRzvNVNdRUNcokJvbLK7KCH0WHC8ws1DT9L
CoG9Ltuh3xitFV1VlrMTlXaTMIDdVYF36qqIzSJkJwzxG18VbdmsDW1M/dlJUCdWWrJx6/4yde1F
SydvNRKMsprJOGBgG/0IPatkTuwoW4rNuflMze4+zsQ9oHpu44PuihutTtXZtNCr1dUWGiR6LikO
djvaJdsgJ/6c+DWzjD4B0JK1UWHGN0oPD37P6mbm95pjj9vKY1R3axoNGnAphHFyX1Fyw5E4rQLl
OhtDL6LLEJJAGFckCpqIPrtJg2YcMUmQcYfitlmZsueCMMCyY+2sK3M7ODqigb6yHlupk/xAygHs
nrcF8I5XbN3rqVcN5h63erGDHmBb1wCL6XQM23U7E/b0y6N48+c88avh+T/cmzxwyHAcAFrQD4iF
3z/YNC6PIpVtcm2IqNqa2Wi80tHsrUei1/5/nPo/+NPief3f599N9vr+0fyX84+v+nn+EV0mcGvT
8fcVT7YMe7/gT3iTAZ8cbBpf7M1fwyixpGSqLwp2PGH44vmqfw2jrg7rIxaLJvY/Ts2/MYziXPi3
8w8Ayl4i6Rcjn7HEbP/+MRnmEVTXcsdLRwfZ2urSb+Uw37nlMPiZDC+5XifvPGLFKp7NBxSKIBmm
BpLujp9ahGbJIZdKmRoJHl7tEydI0IoLqRw3wVsTQgFMmUuYZ1/cWTILQYXKYDcOwdnLEYciJ3rr
zfjeGdS3CLSd8BJUkUZlracyQq7iVkdzufFzd5FbymKrMuOe77UZO71fNWgRUXTOOo0mREwFyjl3
qXzE1w4Mm4Y/ktY7W+Q1CGu6RGG7L102dbbhWyMSYmt5JoJma7iZDMJ88BQ4K9dAhURtw7K0rsDO
1mbdc6BbhGuMlb7XabHayo7qQIAuz++xbvlmGuwcJNar0sw5NCvroZEUVM1y05um36PnXRHRGK/j
fD4onaK6rog8YpXUky1/EM+5aYxpYRSO7tA990JRopvQl2SZMemWM2CbM/QkxEzzxyDKw6C7W9fU
aF4S0VOoc8jTs0hSEvEhRF6AeC0MgkublHu9cCBh2TyVmv3W93TAlynZKKgVTBdGST/0QXqLEgYh
ke3cebxDQQyjrZXNdsyy68aSaCrEWzop9BDUFUP760tc2fiYG9ZLQjgAZyszOAT+tup1wuwn90Q8
44OWkUHjKPEUD0m2GovkpMzgsZqaa9K1TmGTylWbZR+WFn2fBu2hMolfiqa7Tjpb4WjPvZa8o/4G
8rPnYd1UhF6qJSDIaOtPd57vRa/F2HjkmX+mqzFxCf7AemB9EmzkBwY/ztirbeVSe2tY8X1JAp6T
MLSL0N2pxLVXTVF+NwvnxSQxcl3M06vVIyPhQw6FEmI3HbrySh+yHwGfSNlAxVsGxTuZw4Yz70un
+zFo1hIEaT7YMDQhRz9+jfpGF2OHxnuYUHUAHDTanGy0qPcQAHiLWyF9SjreJAXiuLLBkFZWbtx1
TuXLKqeLJ2+kT2lKdQzoHrk2+vJpal+y+mDyzL3kjPHl4jONQm4U1VlIsOfodh4beQhSVEglYoUd
VkVcg/1o4bnVE5wDEViEVn1C3LELMFF34CRRkMx+l6e1ehy+AEobqSTQYRik1n0RmMB9hLk8xVZS
+hYAp5BsPgGQ51RYYJ8LCMqiRtK/3OFKAB/VPW/TjU12JA7F9XPaZ7DMmi/lYCfUafC4ZREf6WLs
qJKE9YltipVQSG5CT073XgUcWxLeNUXqx3L3UpDmbWIAXQGw26c5Y8FEwmDheNEGhT1RJ+71hCiJ
7EEqXrxvMTBx5NnBCjcZas7uEAMkN0QXZQDLWdxvqwVMVEDO7A0MXoDQVlSE1xmwdGo597y7+q4G
sG4TQEMA7EVk05ho6MJgfGsd66kszedcuLhhAb8TRIirmt10iVJ7sml4hlGFRiIx6npc0PNiwdHT
KLsSAOv8qoEdIKFFubPhq0DfjZrodTP9nIHlq8R9qur4zGD31rRUzwhkmQ5AvtMvMqk6MlcmGDRy
GJg7EehvYkruPIgA/vFgBBJ29C51H/NhGHlCzI7eSi/yycvZOAvwBN+Adw0squx4mGYePReUqo2M
QxsCW8XgV1hdwHD1owDXwsl7RdEf5TcL5JWNTkS3Zi4RV+bsvy4+XSvXlR+AlmmR6ralrJNt1yN6
rSpxXSzg2rDAbAZ4mwqDV23OryJwOG0B5PRpftcWiG7GEr1uRuLxWgtyeUYY74b1+0gcyEpbqGwQ
tMfYc044Qd5jBRlCPVj+ANe61wrjkSa0fB1U/GtkbrAFY0afGDBeOePBzatgEzg9FaTcDlWH0n2E
fswzPmsEmzG2ZSIkl7oR+gxol4WFzzrSUjPVtfK7kRPBe/5nI/zaCBel9v81EfX5a/ufE9HyVb9O
RPRZmtZXfIHj/c7I4T9FfSAIUEfh/S94Dn25xW/pMGS02/y5R/6ciCDrcPjDoRnUlH1Fvf6dichd
BuPf4DmAIxIPeBXsmOS4/9vgbEVhgaN01i82vop0j0/bgJ6q03MSZGtLtbdepL6xbfA8d9luDOU3
LY7aVY5g1YbYl0EG0cYR07AN+WbZ3DpDSRGtOPXkVzv5dDCndqP6vZ1oL2UYcuhzioUXPZHhGa2E
t3Zs5gdXJwUpBXxhdVM/IJ9QnPfATrQFvmCGJVHc1LqtNXYvqsz3I6zBxrSHG2gL069p1uX3xUkN
+DvoJz6j5nd4kLOnQutnmi3FR1y1n6Myfnga4W9ln0ZrRpH73Js4wiZinWftGxpStiK1yFfRfA5K
XhfOPJ80K6WSnecIwaQCl+FCYPrl/7Sf7DUWf5BC6EHfUP1l4LqK8ckHlrHJo6YmAst8F+kzJEbU
OmrVEhphk1vvLM0+gds1G47Q2VrbKc1orMsmpH6Fp5YIQfTUr3psBYMfTwRJ0GQcYY8p0j2GyhpG
TetXnTVVPss0tKmQS2SWl20hX9KDaQwNmFTckGEQjt0tWalIbFXW3A6lmWBHpEiGc4W3ipCFVduw
lEZ1QkFXgRstrxHdqYaVvScYwGosb4Uglnjs5YqdJLnvgQxs4hHH+RZTtUVFXyI2yTiso9Ipj5Ls
sRX3a3wObJFsRtm3IICDu5saVnCCw9Bc1mjxMW2ZwU5P+09Dlt6ujup+XadBuNcd7W3o+OejU7b2
MVXhcazZHmMidveA3R9SK20S2cfRJxAUikxah0z07bq0k+zGM1Eh6W2BH1mD4pLE7u9osKdObWjt
Hb7TDywQcod9D3t0o2U3rirDI+8c10cwFq8e0mgk07HYB2JxFggcSwVAIARolzYb3UX6nmPBfqtm
iqBKEthXrY0OovO05jQiTD2FY9/sZET8MEWG5q7CeYmZILJWQWt/YmCz6OGMcABY5o69mlguoXIC
eGXFHOV51psAyIPOxL495hjNIPgcYjCsAdHuqGu8ysJBko5TkmcuPDYoWPajSovOj+j7E/5kehNy
EsQcnxmW0L2HK/22XETZuNLaUxcoQZgrE0UjpodM00PydDN7VZgyJXu4fiKjP1wLFSx49ViiB5pI
921f0JR+y0qE+oEnQS5y+LEhJw0iES4urTl50ovyJqnb+PssCag0ojAiVtPDZVgRPqf627ggm9R2
sKBTnlsfZO98RNnwHTBoO4YerQJS+xyTbjFNxi+kjx/JLH6enNHd4e/CX5A3yyEiz7wVhz6VnyXP
qbagCl3uPQjPvqn16FjptrsqmvLaFda74chvQ6ZNG0DQm0413sFrmn2p2vtWycc6cgJfdMwzdd+Q
WTLHK6RB8840IK+pCIf3pqVuBKtovOguFLhm3ZCof6wZ9clGTw4XTB1TYezjMjqmbnDxzPGsTWa9
OG88nhQ8coRvMNLEGU2L5M2+JR4MtZN2yT40BzIhrd4k809aR4dWKxwv6M4tO3+Trc2ZJfqCtL36
phy1e3j1xWKXxseQQFGYTaw/6Tx6vCQmvlmjvZLh0gHIH8PbnKwz2GZCVvvl4VEiYO1avmlXIRhP
gljuBPbkuyxsqo1nEMrKCdPv2gT3iGZPcldZ+uyrhMUNO3XGCePOu6mfEz9oY5OwytzypUrwTDb2
J8Ca2qSWOuAlvMAcn3IzuaLcJ/fNURg7c8Q4aYoq2KbUAm8j1xa7DKXwxiJKZG84k71JoOPjKFNE
Q8bGzjCX8oiEVxvlPLXGiKopK+hcBnJcwug5pQR9Ebux4Ce1m8FeitbDVY8HZacl4OZJzlJbh3RL
FDlSO46pfvXPqPM16iypRv971Hn4iF7z1/8cdZav+mvUwWUHQm3DNhLixDb0C/izuOzgJ5fGPuOL
U/wJ/iyjjm0Q+4T5DsDTXqagf406TOAIhgCrFyKSOvC/MerQOvYfow6olL58LxprnC9p8a/gN2gN
glJexmVAMtRuEtN8JI1tnxSFBm8e+npngfwusvxg6A/TCNZS5obj64M8djbNmQQc69swmR88rax3
fcK6UOgxGiEn95O+eg+NiX4HUjBQ0hAG3msbU+ufWuJr7uacmkKncYIrChidQzK5G6c2iMN3h+ZM
ugPdH6ERbSdXf+sYLQQ7yh417TUZrEtA+XIF47O4m/XpFm2/c1tXOQavdPQ2IitAhzy0BVR8E67Z
Y/ybZSVXOa/Km9JtEvYaZRLoiJLlSiFO4YdeEAqyaZctuisoPnaWSSCsSHbqTKz6aVDol8BAGDz1
Bb9GTdze1TN9VfHt1XKgNa7gaFsOObUcd425uA84AdlVLgkn4sTJ2DX5YhEwXrvl0HSW47PsBhuv
AK2vZAamTnkaNJRXjQPOFuf1vFMRoHLDiez1yLKar0Pa0x4rTm3J6Y0Nki6gWt2QnTxvTE54s3bf
S058NDtLGHV0pEvtxu6Ch3DgchjHZjNwWzTcGoLbw25Z443lQmEwcHdVVj4nY3Z0uHOm5fKZuYWm
5TrqO1S73E82/VTVcmHpaLG4F7jECoe3hZO1QunILRdDp6zS5eYzuAI9rsJ0uRPH5XbMCnvyYZ9H
P1/uTtW2/4+9M2mKI1vT9F8p673L3I/Pbd29CPeYgCAIZrRxA4F8nmf/9f0cdMmUdJWqSrNa1CKt
NpUXAQGEn/MN7/u8DxaXqWPhpmPSsk5DgAJzGEckFtb3pbyDc3kbT44V+i0XNMhSD1YpFqt4ULt1
saAXtggoAVvaX1XSk6VKdxaxtQCfukf2lq/MdYxNoGuvlXR0RdLbVQRiFUi3V1jYw8aSDrClhvWd
8nbd9tA7YfZLq1gsXWOVoe/JY3a3IXt7T3dKHgRMZjNmMyNtX3TpPnMDsC9a0gI6syirC+wZ1DK5
x7NfYbTGwUY7y5EN2N/GGIqDiGeEuGiCeqT3LQA6oUs33IgtjnB7Fyv1dNQxzAmMcxEGOit19gqG
ul7s89wPxoPL12yN7qaS3jsLE16aWw+2mx9xRzJ305PZDzDspZrmqdLAV3SPtnT0lSB0gBhUDJxs
t/FKF7FalxSbMq0OQnDrKfkdXPZ9WocXXc50SsM8GIv5SmAmZFhG0rX0FzYTsdeZWM4Awj9FeBFN
CzOkpY72PqntC+HmlzG+xUwaGB1pZSzTdGHNjL0xjDA64naM9z3eR4EHUsMLmUlTpCPtkRY+SZrA
h55QYgKbjC0JFK4/SVMlvG3TJ66T1ZW0XCp9tw2NHN2StUweM4fr0QoeFmnUrCsMwwvezUWaOHHB
ELRLanaFxzNYmrdamj7FQqNWu4JMDQyhIIvTlcuv1Rtwiwpco93INatLIyliZMNPB6I0UlymJm5T
A9dpHKFQm6QRNcORSpn6tOBQDfCHeo00rdIdKqsUHyt0mSfY8tIvWJyEtLpqeF4tt4eOjgm2LpyA
AedwavDHBvhkh6g9qO/G2co5i6WVNrDzU4a3drJj5SzCbRtL263aTWcWPlwI5lhPJ/h38C4zzypY
uGXSuLuo0WGRVl4E0pMPCP9ruAS3dYVWYNYENby0AE9R8tpU5jEsMQer0iYs+2OvkNbhEdLyrsNN
bEu/01Ivp1kajZmkYcBww5tJj9e99CLjSXbdfECC0Zyx1WUAr0WhV0sLsz5ahJpbpbkJ8vmR1nPT
hepzDZYOEQIWaLSVl1af3wm80Ytd8qkiXhuDsWlwTw+lcx7jpk6Y1OxguabeuFjxivXIdra1L4wY
D2bImT3hyrZwZ9da84al9tDh2l5wd9rSxt3Ovcfi46lExh+kWBUnHN9Bqu5sHOBqSBc98CZQOY+k
RdyOUZOa0jY+zfZthY98AaaQdhyUsW6VDLrsHQ83JDzc55qOVXZq3WMDr3orcKhnvG9XTsaU2JbO
qkFAvEOH05iM3SyaK+SA4TN3Z7Mu46in65vLtarr1tFxFARtaBC3Tds8xql2Y9LVeIhe7jS7e6KW
C+DAOBOiHTzVmV1pnCAa3nLnRYe3sG3cZsPre2mSusR7Xb62wZIxKSTuhEZ6uST6wMS4U19x5x1G
g4+NVXTewa5eoUb19Eop127evwZSC6La9SsEwmOSkEQVKEHKqD84aJXVo9KckemW7uDDsqOLS3r2
wh0nWOCYl5FNSHVVxdjM43JT9uFuRvaKDeKFpREdnFLczCWkjVhJPrPe+SJNOnqU51sCp7bUERJ/
NNxoZqV5aGrtMxLW98jpuIoLg7wpSiOsQ8uMPVhrj+5i+CFZ96malp6Tj0foLdmqVcILlcElyuHq
q6MUmDMN92kkVX2t1LnJV7Ke08gkvztUHtW6D04kux04zSGBHYwh2kaxYbJV6XEIqiyU6ssyg0lp
AfhQpRQ3rodlrWpuHV38U0d/GxlSwP51HX0dD28A9l9/oSORle9HKa0Znwzgt6BPVYPZHNvujzUq
ChOUfoLJICIOPHLsSj80fcYnlXqZ2htLmyFlHn9W0vonA6yXA+sWBcrfraTfc4i/nxlSi1uMDOHm
WRbztJ/jsCNRDGT+6PCwyhrJ14WSKXPE02eobY6F2EjSo9sLPSU6JGB1CQR+2WiwlWwG/OA5HWYO
x76sFcqkSdmbZqEfegY2/ija4hzxan7Drm489pNRXRRxV37pwm48E/mY3hjaSChdmZBc1E32WyBi
HFqGE2y0pOEgtuuu/MzCE62xMjBxb8ZqxSp2mwpt9BcKshdi+LSvih4v16K14t5zIYOuilnLuA1c
9ApW7U8iEawAE5KEIsCZed4Ht4KZ3XVfKVl0oyZmGrbAfbR62WOoQqNO/evojBrsIhR8w14deqTI
yIGayKdRL+dn01a58hrNQdoMdRUN/GIN6qVlVck6N+M6uVOSxZSq+NS2AWki5SIXQQeCYw6k/gLJ
wVY75N16YZrr2wvq62o+c7qq9nH8R746NK55PkidTfAuucml+gbAIUIcpZainDkudH07a22yn4l0
cf2StgSAyGDvhNT2lIh8uiRjjGIF+nIwk7rbO7UTD9dLgjdrxv+76F7EG3M85G42F8o3Ccc/sgr9
9/ya5+I/Vm/ybfzv3bX8zI8jAWkFzxvrANy08snntPg4E8DbWPAGaJIxtL3jjv84E0iFA2oj1D+W
BX8019YniDgSfGnBPIcU+PdQf/a/NdeuMDWVM0HqylhPyI9/j/rrZ9PER6eAZ6VxyFjfS0pBkVkE
OMiUq9Sed0pL7hUK8ZPKOgJqHPjLkXCscSYlC5cIzGTgY2iQEo9hAuJTmapVy3ytmKAtzor7kuCt
Sq0PM08D0iXngi64WRslItaKZp7Qrlymd1H8XvMQ155JsBc6JW+wSfoKdPXkqpSgo0PyS5M0D+pk
f53AgWySsbrJRXJna3INm7Jz7BVk8rlbPxp91fsIlv08BRKWhBWctFLZkDzbI2lqtmOqEGQBWWLV
9vlZBC4DmERQUj+SSKP4wWR8rrJBmU/MyJ1hk03aSA1dSj4svGi1wscDxMZ3IXGgCnM3lYTMDhI3
KyR4tp719SBRtKlk0ko4rUutlktcba8mrx38WkbVLjlxjrnSu8tsuBNtabPHBnjL+J1dIwxcW8Jw
Nai4icTjTi7YZ9JbiG4tB9SobXtWq8VLLeBY+OA0AAGgR9CYuuWGONVpmLKcsEG9zOmtGuHYsdmq
tBMbyUk1HgujvGeuUCKsm8oLtQBtptjuurCxaIXVvsjKy1Zrtzl61cy1zyYzeORqY1ue6vO+tJJN
XxjqXmMDTkpSOxPZM5HRZtEtqhkHDq/nwQm7+GxAsrEGcDauHC1QZG5dfgTffosgBHNVZQP5JS7J
eA9O6mSGEkhmkm2a92glbXQOi5hPagspRrVatjxSaNFU6k2IRiaQGU1Lox9rQpsUYqVqQpzMxN6T
W7hNh34XyZSngbinzsmPkwvOZRIzMbKDZ+T85bllosTsCQNMHkySoyjstyNJUjAJUa2QLTWRMVWB
wGzInGrInoo7FDYyjIoDt/IsGVBF/7adhpHIKg023USKlSXjrPiTJ3BjkreEofTQ8NqUOTTXNCZk
xpKHhY16q5OPJRpWMzIwq+uzA1vp61xGac0yVEtXjJu4H18KpYX9c9v0tMmYX05hlPgVA+CiWs7I
QrxX3WT0E3K7WvK7QPuxBGCZFrfp51xGfCk2c2YZ+qWT/hXJGDBNBoLVJIO5gUZdn3PFWguWuuHI
oOZBiPG8bBW/JFsMmhazAxVGrEwdC6PjqBkPdTNeRKZ2n8l4MlXMm1oGlsWpchmQYJbkxWUvI82Y
Pr0MTCiYKQcXrow9w9F+nmX8M3rTUQajjU2+d0hKG7rinH+5kGek61jbzA4wrUxWI/uFMvo9by1S
ZfYaMMinBB52YSZMz2Q+m9LuCJ97asltG91hjdl7m+jO545yOe+BUJYkveGD8zqS35qwepxlFJzI
yYkcDevCISXO0erM1wgWwvCrP8YkyY1t42UyWq50jJNO1hxjzpOQ4XPzMhxMGUc3kUsXFKwn3Kba
RSTWwXl6SER6EartnV3gv80S9boj405U2SFixp6q/UOaGzeNDMPLScUzcumGbA5QOI906P0+nKm6
EpL0MlGf0/Nf8yY5K2XUXtR0xzbAWC5D+Hooormoffxb2WZoVWSYI+G92rnCzH5Vj8reINFPJdmv
a+p9TtLfOCCMWdKLCcRvly2nbkjRlub1QScjcKp4yzrM/PI2u8Ng8TklydeozX1HumBrYAUgbVDT
o/uB9EGTFELq34ylULAZTOKHBuclJa9Qk8GFCwmGgYBASKJhIaMNWzIOozI9h0XzeSL7EHUdEFCq
Iw0HhJdYJO8O8aYgL5HQzvPYdr7+061861ZQiP91t3LzXps0xXPzGv/KhyT15R/1CS2LpktJgouO
/b2e+KM+oWdh7I++QJXTfFulqvnoWUw+QhHiIsy0oH1IEsjH9F//5NgUFCg20Yba1t8rUDRBffSD
0IEkJOocC/2nkLYnVX78uwLFnUylcnn7XSop5CJT1tIOgeB7S9bXw3up3dVdAwtsVijBMdZRjgdj
3SZ3BMbinX0v2AtZuxcMlQA0gTweTtN7ed9/q/XDCWSWYEw2wDZY1d+6Ap3EBKhR7+0CjUlD79C9
NxIO5CbOHmz7sGkwTsFqW5LbvOQONzDuCS9L1fmGASKIfJEk0aaqMrTjaOR3wPCRm5m9fV9oA2IA
DuvhvsLJiAHfrBgZGAyLM09p68JL9cq50tOhQgdYJ0+KWZk7AmRAEKP9C45M8kNnhdSN0U+LMRn8
L6Akz4mtwHNLAXVWzT32ej0pUnZ+aVvFcM1WJFo3fQrtNLaLYdcrgQm2rnaYgueEpDFnLRduq96a
VrYTmzaQhsy+RkHH7HHp8niXNfbyJRcKHM3QmNvCm1UuQXLhXTPBA2boPWGozqB3W7PhD8I0CqLp
E8GSmsYyH12EkWh9VKxpy+ik6IpwjbH3GPVlcXduyN57PVdNuLXVbjm1zZB8RlHbnly7tQHtWhrK
ezT9t/lYXbp6W2HiVPhtXhVKOKjrsJXm4DAo+3ofCa1nuxuL5CnFnHA7uVgsKY16PEIjZK1sp+pF
Z68UpwqSPRO5ZDrL7dgY36zRCd9ccp63MNYDwkCjkvQ7l0i7VmlZ8SpkQaVO3D5GulY1x1pRXK6o
7p995bcEAMnr+f3J5cdv4a+aKj7xj0PL+qQ6tC3/AgpJ8sFHU8WhhchKhkGZSKP078Cguv4JlIFs
t/7stz4OLYGvktkLDhtWnX+3q8Jx+dOhJbeeWDRxb6IHw5QpP/7doRXz1IPs6vQD0V+IFUyiU0KY
/ZaZnuUxb16wBsNio/QhclcQ1VrMy02P0DpE+XmhAztn+Fd4egfwRK0/J3amaVd4/aEVJQNO5FU7
FO4xLzt4WXqfxfu6m8UtiFLF3Gut2ijsCJTumAd6cJbOFjsokTLjv4lt7NnnHFdZ+8UtQms8NHrV
mCfase1gFdkbfj90VkXMSLc30KtvVTlDcN/HCV09d3sjYw+H7Bzd5DqQhqPFsLF323WkngtpSGrq
OgHrTJL3Oprc2mvqplv36hyfm91sXATBUlHjuIH73LfAIldGHaBDtQ0qUhwf/VUkzGfSvD4Trvkl
sageyYLIPRiEb1WXv2El1VCu57XxOnZEAatEidbhuC8W1dx0INA+j7AgVoNQ49gb016DDDSiNqEe
fdCUmNDudAy+TDG5r61eiH3EvPdCSYWkTjbo0et+YjRU1VtDkmdAnXVE5RSIaRyEPugtUJczYeaP
W/kWLhX2kgH4+/zc6d3SM4PGPtBOL/vUQKgUC5cO0422dlznqwY86UqfnQRnEpYcu0j9ynHfHCNS
ts6w7DKNYpAJ0HYOUGkrbZ4ieIaS3RrToxGRK5GOy7Diut2WmkvkZjd5XdSMlyneWQ+j6OS5mTn5
Dflc60SpxBGwU3qD8Uu/LiyreEtUo4F8GhcPyWAgco7r12IekvN/6q33esv4rcXmpu+6X1ls5Gd9
HFkMewyqCaF/q7JAsvxxZPEhFyami1lQw4Uo3X0fdZa02AhNHmTYwN+DHf6os4iDYJ7LTJTySwo3
/pbFEKTMT0cWlRwiEHooA0gbY01e3/dH1iDAFNaKOx9NqTlWlaxYtwyGU/p9J6jPHTWZ4JYNJgmy
ZlBUh3Hsb9Tc3JpOSp3PLhs9kGpeTAUrUsoogGKwHQwmmV426+1GaB00r3IsdxPgjJMwGCJZRqec
04mRC5WUjy7WE08x1S9FjbRRi5ZTHpdkAY1l5ivVkK300D4uTA28ogTTFVZ26sXluKw0h6aij+Ev
Frk4pbqS7YcccX4emGu1icydYk/YDfWg3aNcLBwGDoXpxVV6TQLM25jWNyVMkypHddBg70DkoUxn
ocuScunc6qj21meGt8C++CqBlh4Y/o9YLhBiTEXGmts9qAa/Gp2uiHCMk5oSeNxXd25SnyO5/awq
CAWrnBe7jGwsneTCMFnMofc+LJXzurh4edB/1p4jBlKwYaTBaKs99sb0fQy5XBF8SSO9XZlOiXW4
xUpfHwpRPSZoL1Y2SHsZTg+13ZxfllhcanHDf0CzjIG2eGqi185VqzvKvEV5N6+qSHqHVJSfdVNC
cmyYppRbAdRNdcetAHrZa+6GtOO3xXHitWkPBLeaiO6b95CNmdVn31bMT5izN85YUbW55WoUxgOh
8IdeQeJbG9V6YNPrt/NbYFtrIeCUiSCUB/vX3g6JR0jNwke2U240tSMqJBNXQTNjbrKwkFRJBZt5
eXZq5Msae0Qs/KXlNQaWFIi++0F090lSnno1p5i3sMLLGIal3pjoDb1IL7a9ZlHghw+4VRAO5C2W
Hvbqg4L91YGuybIfP0achqRdzaQv2FkREw/SYpUIg24d1+49RSFihbDGhmSdB6PT+DPLYL8z42fQ
A5K2VT7bE6zVdiJ5u1WCZRd0pYHnK03XVUhWaC6A2eFHquAdhwaL/fDGDmzeU6UudiLPDx3rbq8v
8BoFBNHjK2EuAdWBQI/xhDuMiAA9WBVTTlp3a13kltix2gE7E7rHqWhbHPns0u1II3ddbVdWxcVo
jqwvCf8+luxnwJ+SMD6mX/qkf0hyHfHreJUYgLO1MH+jFUSkFHIxjc4l4yt1nTjMtYKW1Axi0q70
Sn8lMwEYeRXt9Gx+GRP3chLFDTnQiZebC9afTqUkNsONYybJppIA2C6wntqyPomQvVKSpG/JMtS7
WQTbpWeJKjLF4kYDV+CG0vgUMhMK42wNHPGhGMsH9i6YgAfjuVGTzwX7dv78JUpUglpWccm2qXTu
k0Yh6n44c9xcXauTubYiLEnIiCE0E2mCjZDyQnmiWtnaSXlRNqi9RhuoP2qMx24B6ZCGursbKlYp
be6iSgcRt6pb1ziKtHQUvwZb/PrPtfjtWmRd8JtivizKX4kPJT/sj2tRfGJKYJjYgKVPXg4SPip5
Qb2O7R1itv6xTf24FqGNclE52O819q2m/IIflTwYFFsXfC0JKmXP+reuRW7hH65Fx1SZwsuUAQdu
KXRTGXr2/bWYFlVWpWqiHrnYGYWbkuLAarX/0iSEJhrptFIlQ08JoOklmnsfdERtB5K0xyX70uXZ
jS0ZfGx6fIoIqHzg+XpF3bfg+tgNhF6D6JuHf8AZBNYv1bXPowT9tRL5l9f1vh7AeC7xUe+UPdHv
hxZTvdYAC+wlNnAgTGRlt86ugCi4jIpvY0boRqv0SpiDqYQPZvF4LfTuCZIzV3danOZU0YBUKLeK
RBcGEmKI1GsTBtZ5ljxmYA5HyTtMzOS6lQTEpm4BBZrnuWQjJkuxnSUtUa2MYyT5iSogxQWg4lD0
504bvFbueB4L7kxJXjQmGIxhEaDlgMoYCuVpBNPYSl5jM0PoH0E4Lm1zH4N0DEkuQO6h14jlsrsJ
7GMvq/ASEGSaOodZkiE1foYAVGS8VM8UDe1mCNJ4zSYq9yIBWbIAMRlI1mTj5HdQaY5tP37OJY0y
BUs5OfW2e+dU5giyBlobB4NkHZjHVMC0NIFb9iOUy3lx7xPL3cg7ekRsoUoeZgsYs8ghZA6gMh2Q
maNkZ45ANOMIx+AguZpAQO5rSdpM0+7RBL05yoVwJ2GcQDmFpoc4zsJLNzIivwDcObbEPGqgPNvA
JSkCuKcA8qlK2qdj47NDlVStGdq8FqF9EwbzFnfHhCwxP5tLoZHkpryxbD9frGJjJd0D/9uuKFlK
GIPjEOoQt+w3uisyErILd8pvrYtSSzl8bejNPE8+Zo4IfHb7FW/pLrGbrQXvxev6JtzwDw9aX6+r
klNYTdEFDUp7ow3NljX6kzFrWzdknlI5JgESbAW7ktuvKPJTn0RsBFoygDsSRRHKrOfIZrmO3tRL
l+ZQuVmL3pt7FmfvVoTleWoarJjorVIkSEY6niVRl3hRM182dE+qEZx3CxsBBa7m/KXHL/wQFZ0c
QLk5tDaMCddCmjbCldPkykmt3PoagTstrTbFm05XN6mCMKYXwVcie94Ck5I0Ilu1UJHu2MV031rN
S5f2uGvK8gQxZqtE6UmrANA6AB2Qq/rVxCRMtwcfzgPZfmZ3qemZwQ9XrWvblnF7ya7sJmMdkRwD
As1evGRoaVtx9nXlhOJpfp4s4VNBfsYNCN90vuMPHUEUUvZzrFwUNYqeVNkXlFKEj3thkvkuOVVJ
Pm9SB8/KhEN3Nhac5t2DVjd+ZM6hL/JpM+SO1P8lF3SZ6J+wAmFy3o6uxYoh5w9y38FsmKeebFnw
iSwZYgXNcFrY/py3fhS7jzn3NAV8dDEwZ/UJUnA3U46ECnvKzoXVhKfpSzuCimMVM0+2THJ1fb2a
Dwa+c7QOFaUO7hRE//xtTSSr/a5vmy99MxyTyfHbxLhVYwoNdwZPltoQ9EyMjSm0WBWAW42xZ6Ol
6o3ZB2+1JUuDId93jAK91h52WgiiXamZfOr5VaAuA7bLmB2J6ayQOHiR0R9GuzgnQRevJrJII3Se
Mp1CBDYqC8pVM6tb1+6h0Q0Pqqj2gTFtEHDY6zTJOP+mQllVVnmt92SLxUtzNNQQaW+yw5sk434v
A2u5JVpgVYvuFIj+rKkRyNUmtjJ39pdFbCyrWeuKtsdtNfgkuS2cwvrGNbtztVg2TgEO0Z0JCKnU
lyxoxaoT/Wc9Zg08AgXba3Z4pcmiPAxPyC0viHQcvGVBQ2st45lqESJbsmxKqxC5iRK7ez00e3xK
05WeKaSmoXh1na+4XwifqPyWaIe2cRTiE5gfj0yA5q666mznbor7iKLNBGmZmy7kF5E9ptgH/bAa
viZtfx5NKqLAYp9gLY9clot9E1/3wEdE3Hw1w3nd91p1GU3Tpk6Wu1QTCwIXDOO0I21hnholgOOs
uk+K1TxM9XQ+5hGlY58jnKscr9MAvafU8RMKzjE8N7qOY9yY90HtArAC2snCCrtMeo/1Z0x9jQyY
jbJ0o+dMzjpT470wJZR5zBcf6MKrMei9Pw/IRdtGe3aX5ag1ub6mXAj9UGgbYimSVaDjxmfTxVQ7
PXSxzXE5T+AcyvihTMQVFoFrcndGxM1Yx6P2i8l6oVOh6ivzsbWYAyG99RqblVxhFnfTrNxXU3mb
xcxxxkL3qyzWVs48HoeU2ZWxODdLAWEro9o+Nag71yaZQDtDrnYtbMoTQXz6EH2bt3yZ/nf4Vv4C
nyKQjf2wHTFtlGG2CsACABGjzZ+6dgb/mjEzrD5qN/nqkZzoq9oj6Nhzn2+v20N5Rl/jdbv4wtyO
frQrN9GZGe5INt7+U+C+F7g6v/DfFLjs2Tbgpb7E7ZdfTaz55O/qXAY70KVU+Sd7X5h9V+dqVJdQ
UuQY591/81Hn2p9cgZWGKckfn/VR56InJOnWdOD9/f3Iz5/n1ZTfsmA2+T++KH7MH6tcM1NVJwma
5bh0D7UTrPqPfcZfvlN/fKO+19F8DdW2DOHKev6niTgccKuaKh363KSAP6BXj/Fgvg7D7rs/wC+e
iB9/kn//Pj89EAhoK1D1Jr5oGaLbXIz2t17uL38QOaj77pH79+9A7/F9RxDiaxU9u5+jmOzVYNzZ
2BqV2XMVxJPDGsO41w5PFZdgfNURJarFb6wAw/BKlKeuAOAPiBVbjRlCdgdsYlAw3XBa+hOt6O9/
FXIL8ttXirHr+1eqc9XDvZC/C33NcpBL6KEfsHJqxnFEjo6aGV7OV5t0vJr/17Fi7/cvgGSHf38B
GtYdOaUk0Fb8ZFIvoJB1XLbzkUlzrMEXa0hhIUUC92Nl1JXnEqLQ7xk8nDWEV5n9eK2BdeB4LWHj
q8pCc1Qj1qgQZko9/tnoUptus/xR5PrZGKgtYgIl0e4mPU+2euomDk7XblUkmGusZl+hdxJDvdG6
GRHQTITZcbDidc44RqpYycTcNmSA5gyfloSw2McWZXbY3pIzcNC7jPRGyx/AUImx3NOFwjXGzJhU
fmrelhXeXIuac6G+j2fN67WefMF8zUBsrh9bfBSzAjB6LM6xp50Ik0+mfDsUxKrlJiGk+qKvS/e2
M/DnwL5IpB3SjEPDN2JS4FQHt2aZZk9AxuAYAuRyzaD109D4pub+yzezJBx89xaRZO8fHnzjp8dl
jGFvdVO7HNWtvgv2y0X3oG+dfXMkye6i27G/WRPB6c0b3Ttjf7Ap/elJ2aebbqturUO8Sb4RKf7y
BcmH50+J8r8/XD+120aW9XYu37Jlumf4W4w+RgXg2eq39epffp9fvTO/P45+OvCcOF+yCBHTUSGr
/nZ6rUMPUTEAALbnv38ItB9/xd9+pO8fgp8FDPz8je7G4hghorxKJxD8RIasxpYluBceERb//hv+
6gRki4BqwiFenV3oj0899sHJtjNdHEca+2J5GZSr33+DXx2A33+Dn353SAXRDoRCHKl4JexhVJiC
pv/JT/GffZOfTll3wi41o5A9usP5Up911i0jhd//HL+6kr7/OX46HmfuatB6pjiS0w0BDCCDde0m
NOfTt5/lv1shfYi/NGVbfu3+j/zKX8pqbuIw6v7fj//Zfvtv6kP/uXv+4T/W74TLU//WzNdvbZ/x
qd8eCPkv/6sf/Bcn83au3v7v/3p+zeMCmW7XxF86QTXzE0NT58/y+/LorHyu+7j49af+URypn9iS
a6iDMUj8iN9kN2Y6FiWujeKCdRfzwY/iyPmkU6NhS1a1D4Lyn8URk7x/fbF3H8bHb+Lq22HDL/Ev
jwrdlofOn4cShyRFlmtINJ6hyyCGn64x/JH5NBlzc5wVXAggksjfZg3CKodkF/xHscFRGNnRpWU2
BIVZ5qkGHI4sSL3WA+M6bchtVNnaT1O0TwZaWFvb0MFcpDjYlGE5ywrtwinovQU0ocGYyE/QL9SM
0DW9zy+Zg26C0L5oI2VTzsoJB9mdPRcP5Gx6bOZYIWPkJYcGaf8+JXo6UnBeWZG+N53ovplHTzFU
Zn7ZZT/H/uCqlxMYN3ZgE6q/BZmO5pHTdmfWSI75idZZM764cXcIsLV2jf5ZD9EGdNKOajFMcc8H
o74MoujSZa6Bt8kLo+oShvBKL+sDMtcHZr27SNMu3XlewQI+JlpyKW1NQ+/6dbv4kTowimyvoqg/
hOPsYZ7bGmO/1jOLhQTTBfdr27hijfG696K+P1tc5xnnKhHsxkOSDMRfuv5gttdRuAAPSPy8wrNZ
NTdzO5PGMsXH0LSh8o2+llh3Zpvvlrm9zp3uBfP0peIUlzg/LgYr35lLf5Y3866viQcKK8lyvqSI
AeUs+2zj2o6YW0Ge2XU20wUjGw9pz7BHmxFnBumzXhrXbmV5EbzVFdfWsVe6i1Dk/hIO+2YpmF8o
14k77TU1uDfyGZ079r+CrrGOyCKHXwMwRK09qcNkIDAC7KqnUzb3gV/G1rM9IIuvarIOK9r2cKoQ
5iJCyMfppaCKJ9itQRuybmd3RIrROk2yw10T7buS2JqjsSwTcxLDKvTt0BRk1WgI3Iep3ZtKqW7L
Gj8c0qfrtOyqs8JqGG/WgNswi+uHyVwGsi81gmWmmEwfzDGEDCzJtdAEjhyWTaiTsd+TPcFS24Hq
DWu2EMuCPbu3V0lFKHzHvtjr7dHYBUPBItCab2Jjrn2I9SxRdaK8lx57JmUUyJqwvXOaTl0zrp5Z
X4lT7MyVvyRfR5N9lquIW4UdKIm4PuEix4WsWqNJL5kxjqgikHJnwRuD6AMAigcFLXNyaPqOTd9s
AKepUKfoVriO8/IkSpLae9y91dB2BFRYBBVGRgrMwngJQ+jXaiNnMW3NatdwLyHxEAs7Ja+u0k9U
+oC9hoHBfiqct7ByPxezuDNN643XD0qmVDGiz3omR2PhCg5G5ZsFA23I1fFqgMxYZY2vO/FxiPIz
fID3xjSzDFXPEtc5I0+crHSlX3Mh3MeLwOOY1ZdIQWrSPdGSiF6xDmUW3BSVtBkSs7QW0aD7vaEj
Z9OKxxEXkt/W+atSSpLgxC7bBhG1SdJpHyjZNlERL7vLAIeJ4XjWTcdYtV+gcLxMxkAs+IRhG2cG
zHOkwnaUkVaFikjUYuNUUD5qXWyDUjx2NSQCjinWoqRwhdiXeyt+nEPSSlzFgM9eM1kGAuX23YvS
N34rcDBNAUDwInjQQ3YBM1lcC6tRz2AepPeKgObJ4nBpqtsIa4CvJvNMmDp/9ykIHnU5hwuqwOb9
pW+IboMq5448onE6E1DFY8n6suXl6V9zFVv8EIQy1oSSPCWbfszrfRwvFq9tOKuc9jjlkA9mpApO
ru/HSCVoYSBmUz3rRmdZZQqk4hgq4qpXp4s0Um/GsDs3i+hWm20i0HFfFk3C9tgYdd+alIuY8Cs8
aOldg+V7FWNm8HG8khsfRWmxacY2jDylDND/syolmnaI9kYHTwWG+apQHWWrLgCq5oKJZtHm5Wbq
BRE5M3IssnNtbcpOMcqEb/Xof3cxsn0rL5/zt/bH4uN/dC1C/fb7WuSij9v/OL7EbfWrYQ2f/lGP
aO4n7FqM1FyhOi702++WkhKW4qhUHi6GZ+hvf9Yj5if00Ixv+ICDNNHlsz7qEeOTQ/XiEM5AopAl
RYk/FSC/K0h+LPBlOeLSU7P8FHw9BDs/NRQNm8gWTXZ4DMFIt+I8Nv5FSv7Lkgfa7A8lD2Jwl20n
X8ii9LGd95nU96ODXCtVt8rm6TJM7T26PHYCQiTNxs6nw6RDeIKvObdb3r/J2lIqVpha55g3Auol
ohJAqQf0Im6LCjmoD32jOPX/Z+88liM51iX9KmOzT1qKSLWYTWkN3RCbNMjUGanV088X4CFvk5fG
a7SZJVeHp0mgGoXKEP67f067jOVUZ8fR9HEtmo75hV4apLWaQV9LwPzlLiVjva45rmxHDNnbWobm
ejAcY8vzxU4nBy75Tgnaq3euEzKb25J6v1Unw5qodpiZ67CWibYt8mGWd0U9R185/uqNZYAGT5Ye
WLA1AUhhJnjl+H9rowQYuY5Erlt3WEUIsbDfVjctHKQ6rubNrBn2QhujJ6s0UMgjeiDoo2VMBayt
r7ak004DpRILt9UuXdT/sFPrvvKbuzqdT2HR/3BspoyeQ9I9jcWpqsU6FNUpihKA5WG6N2oaFsPR
OQ6kWDljqg5ZkvcxFnWdPWOW04GEy3OZJBM4EQYnuqyu6thJduzzp27U3yInnRiIQMsVgZixwRjg
ubBLTb5PJ6yD8ZF7JxqTlYMGH5mOWsF8rKby2AfadszTXavF4TbP7BpqwEwRIvOsIT7nuAbXgSWq
BYc7OjzqfcA0ILIr9hG08FWopRxw0LZCGL1FM2IhivI7WbfHyIIboU268z71KfthHQ5LxOvNWPJR
HQ2QCTjkOXgUKzCs+7GsmAvT+2skbEophkqy0HQ2h4l9Z4tJMlcT3a4paKyB3gmcLxB4Haf2XDm9
Bry93vfpOG1lpn8Kp/tgRu1tyY3lR8vPSfdFqR3flIWXE+4Rsb00iKpxC9EOPl7YLcPbdwaD+9nR
Lq3hPrQYMbMocND0qVpOvWVnGSdKoW76ggaeBEhgHawbQ1vmDsWXhJO23tAy0rN44+1C0Rb6R0M1
GJV2uAKw+0Lu4EyXMs3s9XhAYb2e+aa9QSyJsdcsaNIutVezoS1UG/dSzCcrgFHh/hiDF+nNBzen
d9GGLlG79kM1G6Tsxree00zXehQT5+nJBngSBolBmW4KRSz1n7PQfLZIj5KfNk6+KKhfFldVtJty
ES2jGXCZjU3KjbR7b2weRNpT3okgYUfhtehJMkIpxODex8cW+YU7GcyE3vhRatE9o9AHrZTAgYeN
OivjFztUvnYYR4gUQMgOuH63mZOxtbrNypIGobpOtLdiSA78fEc70V/Y7cFDWgi/vsRKYVplcqG8
M92NWm4+y8FznxpPYkkYpyl4yNsgvR0Dt+HalBkgDYMaXEMbrSot5ciWwQqL2olGKlPTVwOPBfNL
O750QtFKsroPmmVXOuoJY4DCAM9XR8Iq8N5mB/5sZDs/NE4n675xuM5QxQEQswfO6Dd8mC1VnNJl
x8nDfBaa9m2r67D0q6FahX3pLQwjOfZyusvLdFgkg4TYXTYUYvniyXHuEn7zq6qD8eqOTXHwuNmc
g5IA5jiz04NPehMhRQMOgGQeOeKewr7Xw5IhbDLBl5jCUwLHdjGlwU3ayrdu9JcJ/EovMWGsaPod
FVrPllW+NF1KrCTZ9Un75dbDFb31CS6OiAPvkD2bSbeJHPeFK+Oi85g8CgMbcjDA+m0bTJAJScUm
sFfTBCEpc9dJZX5glBi5c4B3K/rnHtKjLdqShGP30lAvX9b8mtOBslz30SiaH/THP9qGZLI7Jndj
Np0Kf9i1FQFUbUgeQ+rP44FHdBzPfZBvwxy5W8+c27adr3C0PY+RfZGJWHqifxxUN8rAuMqd+00v
uN2Mek15DnlUJ31hJg27O3G2SKVgljKuqq0X78NmxGRuFXKZ2M4d5Qa8gxmBWXhJ97TUHVrLoTc2
1p/ZCbixISdq9BdyIGx3Mgkf7akiE6nXO5vRIcsNYMLxbBX89HnknrzO3dVpeDDgIvsl7hzox6WX
Xlk2jW05vmyKHBh8p68aljF7iHddBu246oJXcBwH3utVPI9Af0z/ILrppil1/pqiOSS6tqtt5yUg
M9dzwxdtfxcId4U9at40kDrp3I6uocF/4dEEikxwThcJOjccF9/OMKtU93nRgu8r5K4PcddhhJtO
+IqhmJonxrYvTiCPes3FwDRly2AY5JcUYrgmbI7joA6tderVT4UeUfKte1fYPvFvFlWl6lFxNkZj
vrEd5z3OqCWkyEd7GkqHzwvBpPUEFBCTYpx9jExUV6aVRw75YvM8RE3w9dP57D86zN9WQ/jQMGh4
Vo5pHzVHqTI/ZSiM1DZw6QTaJUke6HhM/Tdhb//fXkKdtH56iYlPsZN2vIRe4TvkBl9ejcn/oJb+
SWXkJKV+DEdHiDUsOAB/+jFMs5swgMXhlT6wy+Ngbk/jeK9pq7//UdDBftKo1IHNV5XduLeppVJp
vT/+KKFMJstN+/CqI0Zbce9sTJ7D6qET10NvLJyGi499+H7Nf68SFu/u318lzq9U7v2FqMkX/naJ
MOlRZ/pOpYY6+UPq/ukSQdzIBOFqu76F9fHnS4T7C+FJ00XyZGgGhIqv+u0S4f7CmJghGp+j/y8T
X2iKHrVGuAdc88+xSmxxXZU72Bd0eV2HYj1RU/DTm/IXzy9/058/kTgnuYSgmdr8hKog5E/yOhBY
OtXcrrtqRMLC/kPTr3z7phE7I+AjCVxg/fevZ/4pdaUmLX98RfU3+ulxNgnmx6xS3VVCjQPnuBBs
3NRIk/aBUDY3Qy29Q99iVXRS/N+Ng2cOKnMVjAQF2rxlDwS79DIywN47FkHrqSrFymgklHsvOtkS
MLVnpsuy1j96Lf3yR+2pmPNraZhi4dKNTgNqrQobYAFaZgSmgBWUxoY43InU2TZTFm8whQL045K0
DTCjLGPY+8D2OJiRYMJ9bcZEdrwlPK9bD6EY7Cbuzrg/aVXAbynBVR5gBIOmtxITeDRnuAkIC3Aq
sHZSGtc9QH7To0hdByBB69pRUoqBSfChBhm86IuXfrauRzfa9e7cwM1stvTMbUXpHei7G0kbyGHD
Za7ZBtF0lp0737k4YpCHbKKed5TsOTuHsW1iFNWuciKtvZm/57hdXo/yKmM82XKdvEDcxrDVsElx
56uIh3snh6yZJvITvIf9mJI784OLpqeXaXYejQy3mopRLnzL2tRm/C5s/QNeok2mQZzHUhwC04II
WZ7aYMCJNO0nK77W6T4pAvbZcToN03jqPPIM7Zzry9Aejk2vP1YUvQkB0yMv5gc7Y8QK3C29xF1x
XaQt1eXEp+b0oMsURF7p6FxBwHJXo0ebeZ9ScDBla8yND6TrID5oergx85IG4G5o4eGaMNbjajpl
E9Q4HK3HLEcpHK5E5N02XW0QYcnaRRTVG6PMD0EWX3eFdjf01EEQ1l9IhcyNQS3m7Ycb4X40nATf
/LD2u7yjiMJYsTcyHJ5u2k6ynGNncHDhDXW/wRK5wuC2yA1QiVJiPBLXeVBVy2HEudVmaX87TtEt
EKd9TQ7GK70nnE7L0bXr+1LXGENi6ipAn8BsgnwHQmNm8C2wttIO8qlj0Co6hxQHeRxWsL2ZJw6e
55iLPlDAILyO4v4s7ITy8Xw76vY6c4sl7NRj00jONqSB5paWMO3CnrUywRHw2N5MwECgnSAeWyLY
VL71Q9Q04/GEABDHhVXY2bRLBzvb11mxKdEWSctph7SZ74n5RospaxFk5V3Sgy1P2NGwP+OB9sxX
v0teE9c7yypLFmMyQN9raliwzZCTVOq93fcy8++mp1Suv9n04s+6fv3vO576qt93PNUiBUwAdJGN
e/FPqCN2M2Z1Fq1QJlfQ/5LN/F9gCHi465laWNDP+Ia/7Xik33wF/nVZFTnZEA74B7KZ+e0x+sMc
j/MR4ycXQhvFVBid/rg/zDD8IlPG+hX6HfaXfEa7Ml5k+AF2bKbfHKJtcYpVzXFMAfRpKPnzmqoi
hy7kjiY3Lo63GR3J9GUjQ2jjtkmjp6K2t8DUbq3Cw/9atYvGfTYcQcyf3uWZ/uXW5g4bqkpmM+wo
GSrucb1Ui87XM9iTRrvS4/IZ+NfKodnZBtiNGft1ps/UoPnZFBrK2dgeIkyz3LNcPNTxrmHvXiT0
RmOP3Q10uKGmt2phf4a+8jDTNE347ImARL5I6aDWhgJoS/cjBSUE5cze1L62mWmtjn1WPn6ybenT
dg4ydeXFrbOA1Eikl9brlvEPgDe6oADyu/Ri101PXRBN2dVgjvQPT+5+VjXaQyCOiZ5xxRm0HcUz
AttTHcAXQJ0R4978buN2boeyu8WqXz9k9HVnqrjbqbxDSJM3SUIihqT3S308h6rsewhdbW3T/932
WkIrXXcUNIMTAOYuT1f4ZHwgDL2ENIhPnj1gjgYjPnvDS6rTFZRVFkxj8Wm5LJsczB++WQ6DjhtX
Y/lpVV05nWIOAaIJbOe09bxhXZIC7Bres1CVnQ+/Fp+nKIj1pR2xsK4DAkVbImD2iEAST4g4pd7u
peeF69bFD2yYLff6Suq1uwZwh/W9+W6EyPpqwFlrm+3K+e6MGL/7I3JTEivLiAKEEYt3KXyINRX9
ZNRPFKqHQlONFJagbYCbHP80IHRQW0EPqVj6afWF8cpZUGC6mlTHhavaLkI7vXXnkioty71okYn3
1iz5HjolRlr0lI3iufBoz+jH/o7RGO0UqllDVPZHQtWGOY2fc8vi2VPCETqCjwIkIV31c6QIzbVq
7KCqyVoTj6aSTLV5+OlORPWzl9rtBmBRtrap/phaTLKlQICE5P7B3qiIYsPIJ6f1V4VqD9FVj0gW
apfwOQP9ScFIwaBN0Dli0z1iolzZ6Xx0Cup+ZXnTW1BTI9pKSpVIc+gvQamDxM/RJNSdx0Dl123+
xDOGx3CubmI6UCahNUQ0ngvbZiw8afIIHmSOV3wrMjtuutI4wBAfZA6qRQ3dlSOm54Gqe7TI226S
4T6NIpWsuDCbAoxdwsIlOJ0xLtM3zPfr93/3FQ7keCaYLfzNvvJatK//a5m9/uXmwpf+vrkYvzCM
MaDK2HhFvneQ3w20Jv/KFPAWbHAL3xmy3zwi7i+QbRzlkyUqBh2Ra/Fvm4vDTIYJju8wxAEy8w9n
Mn+yeampjKLf6Z7Ko/FqKsj28+XDNUIjy2pbXpkeHaSmoqEZg5plUkCzMMfQ2A9BusmApxU56V3G
6tFzDlgNuXXjwWWSANdcwCWJrV3NGshfLAPLLHHlKVOUNo5sPyZdPHl+SaNUg07rae26n9J7p4bd
Di6FSbMivsnEvRlDeuUXmOBLfZ15js5IxmbKYoz6ZebwBgtK9NsoiKhmtjnsFnobQaz1qY+oy4UR
spKxpM2BRKnVbbnrnCFfsRhdRowpi2limEJG3F5FYzuu+l5/6NnFaAhfD2bbMOIHguvoTFrt2n53
+DmXZc73rXyaCSm3+B5Ps/0WybsfYx+YAklYPEe2zCbk+EIE+6zkxInpZi0LWqBZD7OjbWvDKYgh
RmCmL5aiTh7AKiDpZa2BnS65knRq2KoQZJgBXzndPSMcGkjS6kGNysoKAB3wtZMYqW6zqkCNlYtu
VWhZiQCrV0u/5j1Nq+5ckj9eppPMNnOvbcFjHOzC/JEnPeYwzggoqDaQQGPnWgS+pjT+6PFMhMV8
mc28x/MgCKMn9VOmIg5EUlX37QlML/EFnY7cMO2W2ox1R6Z4bhuJtFe2CbkBk3aB1rlJAxLW1tAM
K3MO15XIvc2gyffKpN8R68XFhGwtKm0r9fyU5/EV192jZSGf5qI5Vj2fmaBrrqvYAWme8tboCNlr
gazYsKY2Sbet2BpdO8Lc40sNfnEiYV8Uq7TUtnWi4U+UzXmGV8JvDym+85xbJLozw0C5rqd+JPgN
3tgkF7mw5BwvMtFiZASeTyEb85GwgbQzRps+Kc6hCF6mqp82GczokJHlym71H6ICaAL/f2VkbFxV
63DmCG9CBhbGqLwzI8YO/6N2BtCNfcN72Dj7sMI1g6/q1HbNVSybSruR0s3mz2nM0p2Ld8FPyx/0
EBGIJCLUKDdI0ak29tZ/lql+29r1h1dO0Ehow51DkPrOqmyGg99yptHNo8yiSyzlYUyaSyGz675g
xlA1oM6zoBv2TmB/MSfquOEPltjGXeCCbin6+c505nNYcWM2iFluQnWLHiyH1xXUFECZVPfsiQv3
wMW7tp8bdQ/PO/+h4AaYcUGvzZpLfWvjRrBUk8M1mRssM5gXJru7YbHD4NCuTNOmGTCmoTdACLCa
9gTLi6MZgyCJVOAa7jKYwruZBsuFo9SESOkKZk0mVeRuQVTP4GKt9AcLIYKm33BXKW3CVCqFVHqF
1vHJKUo8P4VSM3JkDQ95wxXFl0TuyJXuQdPyjxk+jW2kqgEHbcRWKoleB+7CTco3D5zUiRb0czx6
LBO6fk1QkYfBrYwrGmU+rdkd1/o8fHYNTay5M95yDCr3VtG/MEXYQH14mmIXGEC18Rsc8TlKDNOB
RtBjEz4WEJyw+3A39CZ8HpLpcX3tx9lRh0U5q+uxXQWXxMXeEzvpThaTivLYDx5+Kl65X1q+uDd0
yOURnezk3IwSLGUyrivNPI88Bteu9G8ROnZjJqiDzHoqkjIT93liqPA5aGG3XfGzMnxIGw5gcfUa
VRxh24lWSBKrayhZX6H/HnMZaFrrNuU9YR8wlmZYZNzKveu8NTd6RDdo0KdigauFztl5AFTTJ1tO
gFjckgzFqtU+Yr6d59GMaNu0X9vhJQItCLwq7o9CM7gJhMa0s83xVhEoaCbgCCljY9V5RPbGitkl
Mj8FECNUdFhV1jHClbDsMvcFkGa8ZzlehCOWlZA0nBZVd2ZM8ck81Zj5nG494ucioN+8pyY5VK2x
trXtggWrqjPXmJpPTXnX2eNJ6A3ADotGFfpL7LS8MAjL9qUxXIXteKuDjNcCa2KW4B5l5e80Qxvu
o3nqNkNnfqY+nqrGdW8YtpBcVsjQf89Tv56n8OH+j+cpUER/cVdXDt7Xpv0//1sDKoOvFvcIkSNO
QDhK/qBOWwZXcg5voMcdwDK/W27dX5AP1bDB5Yxjw9j6w3GKQ5Dpsdhw5NMpg/4nd3X7j/7v7+MU
cSguMJzpMNgqatjPxyk/0CQV7V55VeBBhELuAGcxM5PW1OIxri3KdhMktsasAe6ntG2SEN5XtvHV
szFS/5MPh0F1lXCsSEj1dbtQhmvYEPbKqtFzZdEBsKUmK3GTtyGooflCvkIhhaiS0Re8dvESLLRy
8q+jKn+wa9AY1WBNfMzn05Ti5Qxb2lDjxyCx7tmGiytXwW2lwtx2CnirY3Y45DBwA0G1Xer7N+zG
I7085if04W4TmjwMBU8F04NjUo7TRh+LtdaMtxxUrkb1IGE1IVPPkyqqra0etZ5nLnfru0g9hKTn
z416LMPW2qa6H9EH3bxP6tGlrrFfu+pxtniuw7i6E/5EpwwPPDeYRVPX8Z5+iBfDiFwkw+HSh6pn
bg5Jzqu1Y6S4UK0mY0p1dVan9LTOt8H3iqPWHletQlkMkDdnYfLL+OCrlSphyZpZuhK1hsVqNWNJ
2g5qfavUSqepNc9Qq19HDX3HcmipddFigSQoyVCaJRPr6K1sPkwWUpdv16mVNVZrbGQ0rxF53mWj
1l/BQpyoFRkHgYG7EwSzWq25SlO5xALusZBjTJLXVW6cK7XG62q1j9W6z3jF3M6meS/UnpD2/spj
kyjVbsFZCN8w+4fDRqKrHcXjxB6wxTSyvR7YctqMIjS2IKn2IsOOH321OxVqnwrUjuWzdc1sYVM1
PWE23XBEeBFqj8ut/pbDDJoO2x+vPNL4l332amcEoUFOyJiuCUtbuDiis6/20d6q3wy1s7a1YWK1
ZDARabm7rlxQi+upaNAJ5o2tBhl4EstL2GvuoVRjjvF74uF+Tz+skpwTJi8OP95w6G1r4QXupi7H
nUIbTrY1rKygfvYFIWMxFcwpSl4COyvawK4eJjwUNm+xFwZbLY/mB6uUxkKYmMqt0r3zKufYGtNn
FlVkdlP7Ngui8OjM/XrO+4sZYcEm3outF4tM0UQfyVz6+JPdDwIqhNY92Mx27zeQhpubtpK8xfWZ
xhNvhZuhPEiXQy3MikWVYpyCes8n3APePU58xdhD/x/CaZMYwVdWBtdZPXX0/7Y6/tpOLp0O6YRq
kWNlFvp61p1qF3YzXdD9yg2Kw5CYoCkD8zmh5VA1/rT0e2n62Rpq+1PXg/Re6qLcZb2He8LIIibk
/+5Ov+5ObAl/szu1r8g7GWy/v9id+Mrfdyf9F5WFdYRtOv/By/5+2YejpjYlwRFXgRp/2p0U+oXq
GSCOLtW43//qt8s+s1MFo/0exVPD6/yj3clS8+CfZpu/XvZRHNgeIefqQuev/vPuhOfDSusxk1cd
kJP5DDXWTi6G0BNz3cJ8uQbG0LdLjHUXu6yuuf29izAa1rWZ3/cGN2Bw96fKrJ+ZHR2ypriN83jV
aiaOtyQ4e7Z9JmqeLgt32NI5GZKBS0+RPjzOSfFJdmJcyN5sqMB15I0d0tGRM3uMCCd2mH/olGd0
krXJuWUIOrKbr2qrL4w3kpILQOVhRnUn6JM9iZs6PmAda8NtSrPpvNB7n9qivLQS7GSaDtnB6cu9
G7v5tnIp/c5oxLu3gpYlOMiHpFv5fhiJU53EzXMyBMWq663c3PRdn8xQRJKjS6UrpQK+3Qxrt7a1
lf+dU4A+QTtN9Z1fyL+zDIiDbx2kzMWQFY+uCjy00QAXUUUgyEKUAWxMV8UjEhWUsDp5jlV0wsSW
BNAsXldzQBsu+QoZANInb6HV874lf9G7+bLohz2L24qe9dM42CTKHNQTkht1Zt5OTfxKqdCRAIdG
z1137lTYwyX14an4R+0bt32n7R1yIQwbL57yvln1IteGHXByAC35DovrKfSLS06+pJP1m07exMdC
b5I/SWkgisijBEZ45cDJX1RZeZeRWHGLeJWV+nYgyVK33grj5B7e5WOufJ4kXnyvOWQqAoNV3SQp
+FWAahdkZCyyMoPKzJTkLbirB2Rp/LR9pp995XbeqiRrU5BFonD5ykPSYPO+FEzdG7I58yDPPVkd
6sgu/C6XZTJsKL29JAGwf7I9s2VvOrI+oH+2zENfTDvZMBE4l1b7FkrCQepXH7r+vagNmv+MrUeK
yFBhCqYZpIBoTamSS+3QPsAWQW/Yg00OKUPrJSAjV9h19w1JJS+GwUdyid0TmE72CPfnQeoRtHRt
E5T2CQP2xiT5pCdQ/5zJOA1kouhIaZc+KamUtFRAaoqTKFWDRG5IU2kxyAnSVbLhAIeB87N2zdve
H29rFcQKwt6+Yfi5jZ2BkFYgoHSa+VWd6ckeaAhZrtiUwHwx/XHCG6srHalhMPhIdaqmWKkQldIj
SoSJCYFCR6gQuQVyJbwZlYIxoqH3WHRXFuJGm0x8/FA7yjLYgj+aNpoVvMx1dh6UMuLl3T0QUqAh
FpggpZ6YSkcxvhUVpa1oUT0uy14riHgY50CIW6GUGKbn7SJR6kyf+NcJck0jaN1Q+k0JOoZ7mpts
oKmcW0QepJCljeijAxha8+ngt2VCPqPW+bpitr8sEItMpRpFU8PcGt57kJ4sZCWqwta5U11KpTcN
Vf6ORZpfxqwxyEWTSpQ6xYjoxs68vVS6FY5rzAtKywqUqqUxR5JK5zIjG7UE6SuPMYWmiGGMO55a
pY5NSifT8vnSqbARApqjlDTNQ/gosfqOcYQKgdzmILvhJD+AmNt5WpdtSLiVHLqHMwoxMwql2uHz
JUaulDxTaXpDXFabpJtOUul9jhVfpQiAvdMR04rG+9Cx+bzTVVkgFva4+QKlHnLCxzKJoOgrZdFX
GqNQaiOkvuyIUTT992b6K9rZ/lulH8GVtpzpv2/86st+3/jNX+BQ6Aa1OGpM/KcuWkd5Ab83fa6D
/5H4BYEMJexDgjOZRpHW+K87qf8Lfw52ghga8jyMjX9yJwWg/uddH4aBT7zD9Pkf/iq80h92fRjp
TlU1+XVBckCcG7NDD566mOElZoXB9LEq9wxICQG9I8W+zKpEDjTRnVC1cpb7NvVgkUv65mqk8EoV
0BGayEhxuRe9pZyOp4dW2pJkYCDZOODuYJPGxLygtuOiqYI7AmgtbmB51Uzth6ZK8Gx/+BCqFi+S
nNZVUZ704uOoqvMsPzlrnD9qXdorqer1ohZrMm3i2cKdarJi2NWpbX3r43Yz5+m01enp00ZjEw0t
sYYx3LlueymQgwGaMV+zq+F5oNg1a6dsmaTGnWW3T6HHjcpXvYCGRUNgGCP8MB5hT1D9gQZFgszd
5JYBONEpCF8xUXgp6P+MZvMOu1C1iLr4ZjT1Q67bn6LNt1Y9vDYiPnLRSJc1wNkRd03tt/zX/i7X
66fOivdyxKNSpOGTbJwnP3mzBiRBYb03vv9em81VPcePthzfU0EAgLT8zAzEudb4y2JnGnZ5FFPL
3hL/n7Uu3KDj39GTfcGTf5kZDywTneTEZFLFbVdevk+MplrYBgw7hsjXmj1ws1Dlu7bGHTocjWMS
OeE20TpnU4X0fVSdvvaa8cFptIM5wIjw3fbgScINOvWn5SRgKqQVoIWyMLdTq846iVzVCtNUTpm3
Td2oXiU6wFKnD8a13ZkgcWn7W7qTSY3J8CPwXND03bWjd1j4ClK+ml9ta4HNxzQZ2KcpzCTmQWM7
hAsxzPhb9Xqfa5Bca1MLtjxowXKgR4jeh0vEr4L/sn5LtPqWBOA1AMB9mIDecswE1zXQilbsfAND
czo7D21SLfQ8/MG1+JPyaA1PAkdXu3NU0s1ni+vmpyKhbSY0QXO65aPWdfBKm+FBo+6QwQ7Cy4y8
sbb69G7STMqDTIfBkyG/cqpdofqWZ6hGV6kgSdlOo7nw5EDgpR/Wo4fRzB0oOtCS2kMFiCkdSv3d
0HbsMlY9vrZBmay4vaP61qDKrTR57NKVm8UPSA04cMEgrnnWVkL0HK5at90WDdFPe6DHZTTMYGnR
3jOVw1kUOPjzhPL0WdNu0BMirt0VhyyT2tgCwDEOEGcZU6GyHMMZ7US+pmOlq8/anbAO2kTlIzYN
LaxvpdusrWlMVlHkrj2Kl0iZf5EVYybkiq961p/9xj9hEL6U08RMwXAX+KeitTMxq57y6jbqmtdM
gHCJpz1dDFjKfdhUzPPQcdHsPfTo2pu+zKZ+CbXuOMj2Jiu1c9sn6SYu2tWcYm33md4Yep8SVxnM
RdLhcOv8qF/WbftVajlF1OOgBDb3Na7qF3hB4F2lli5MOZJdHzzn0HaEIxtb8xhMMoqkXpLjGYCO
PnPeW8ND33HMeMWCfGy0emTm05FBmPtDS8/W0qzDWycaX4G3wQ0UKVO6qsmA5bIFN6LaOTmeM4iS
yoF+19oVrDLEg2xERiCazPG7sGseOskj4TnnrAZ4KceA3kuLKUcXjEtXC++CQFzJ0r/zA7Gzxsmj
Z1bR0qfsNigRSYD3bMLWy57qoYnposJZyV0SZVw92HbySNlJy6VnSDcsq2TbzehtLCTwQBFv+qE4
sKDfTkL2u4rpJOnW7qYUvbmIbZtIuudtI0h3y76xBKKLvA+84kCiSCzTKiO+39/EtiioBCGGEcNz
dmXNUT3M+Nq+v7OdxNvNRffGTLBb+GUdLMzCjJZOUpF1mrUvX1B9C/M93nq+dlNM8s2xeLarzPWY
8niUgY64WopgLrCz+6DvZPVEB0mwbD1yBvk04uaAZLOIiPytJGu2XRb6Jon1dpOpmIkPF63kg8RF
bjO1Yb2gfEuBcWEqDxbZinbEAOljKl46fezsGaaCfhbIbkSoeWig2nSif4im9GZgT1y2CUHk2G4S
5iZ2SJ3SxMfNw3fRJfwZGG+Q29pMglskZ1A5ksGqO1B3MBAgS50H2gK2pLE/bGlf0972OTJdAR2c
ELBpOZnW5PCcrjhhua+orqP30NPpLHGLHZHJfZuVNXqW2ZF00OUTxsBs38zVg2Xy4GeF9aiRI6cU
4GOoso0fJA9s9voxdojdsv/vG9z63ODvqUzaWVozLGhdGtUNhsIWMewCZDSVfuQWDu0Rxahfma77
Ho9SW+WEFpeVLOfNJL1bI8irtU0hNPZe5N2ypBGmz7pgr9fTq6PxYWij3txAN70fCxcEU6Ad4jB8
rTFjh4TTsDOWZPUB1BVueS1TbI/S18M1ucT3kmIxLmvxs9DJZCeVc613zg8pnG1QZuNuDq2vRKfw
2+oh2JlmHVEqX0Qbx+U43jpw3XU58fFLjBav1uQviJg9O01/YXofr7H1QobWWLWjCZcPWaFh6WjJ
q16YZ5LVMELjIGF4XB7jPuOtbuvtNBO37yzFYdbTXcIIaBl7hFB05QWqzKBYyqTO1o7vfUShNi4q
L6w3jM71pcz7fiV1At3prFZV5xGmpYELi3KavNLuqTl4qH1uM0XsL+WQYdIilxl2XrsMgU0jeER3
rQN0gNP8vgu7Zpnr/oMouuswo02PcSl3mlIDBuDwPFlQdsdQy1bMsPcaJyfV0aODY2zeyjDH1cR+
zrvFFoLBla5wStfjzwExWCudL0fX7jWEy5WbK/XYT79cpfsymHjvp/ros5MvJtd+p51zSycPtXyh
cQgKq8By0Yvl6KSPYZ4TWB9rc+lxK0m0nMjWm+5RB+wTK/KEJhdGlxxKBeYouyS5mDGlWoRHFwwE
n0NqgGBAJPcGfcCotNqtm+OeNineEv7wOHLmgv0xI6eXslhXrRUuGSQzc04rfhzBjMMbyKECaz16
KK6eNykybgUnfhi+HNOF9Qp+eB2m1kbvu6ey59GNauMmCwt1WbTOlhPTaG8n9YL5+p0T8zuyXcJH
MhpZp+viPIqa7LsjDobXvsMvhR0cA5UbAYLnnf4wZ/FhnLJ7jI35aiAeJ139re+ZJnhQFRd+C7hD
Zt2pbOpNoY/eAjWFiyvxKT61yaevqBm9g0A9Fp9zXkMHKQiMovaYZvFE78qqdZOHsmdm0HDKc1OW
vqjikxn5g4vHJuYv2blbfay/nIgj3f9l7zyW4zi6tH0ritkXorxZzERMezS8I0FuKpoAWN77uvr/
SRgJpsmRvsai/wi1FpIIoroqKzNPnnNeY2U99kqc+Vp4lAHyx5R/Dl3XncHg3wCD/BHWzZmuF2v8
CZWZh+AqehZESg1V88K67H1l3hsJwPIiu8JhewWI79Ch0FXI4XlNT5OGzADnEfSaG88RlDgGKH/Y
BPk0NuQWtn+oDNPCs9ToIk5H83ZA+cM+LSS0NS9io4Z3NojGrZFL/1J3nnNQ6sG/rj9fNwDNHrak
oPzWSwqKgRB0M8j9qIiTN2qvOqPoAoAeRhLAePRrFe3PF6CZecCBSCSbhixTFxa2Qy+1Z+PAor+K
0hpEIA3or/JPstCPRh1oIDmUkrkHRUeh4L1RB9VGuUiTrDkdYwBaKLt+R+THF4rTFhVcyN9lDC3T
DaZD5p4EWDTMDKWrpmXanidVdmjRWuUMBzvMaQucC4IjvyECW7AXEYy+kuXovuWQiHBFS1iRANG7
nXqSjYI8KpveNKlET1b+isX9d7XSb53Co5rqO/rCFWIdjjQuYl2SIJL74FYREbE8CT2OPPwC1Ox7
PmQ3rU9qldWYSLim+aXErzilqVs70lc3hc4ODw+ywUkb+cegbL9Xmc2x17HOS824i9EFnic8GM0+
vHKAxa4bJfuWDPKAs5hG77MmZSziDlZkdzOoeTn36m6h6zAS1FDrpnoXxECa7fvCR+jEjs3jqo6v
O1LcqY09pxHZl1ng3BeVcw6WB/nAghRE9sJ67nbdqZ23t3KU3mH18M0tEEDL0jvKGfAQotKbN2kH
DdxKzr3cWeH8MdFD73uswjvOYzufdSbS212e3XWKcwKqup4lA3STnDrcbMALckHPoJyCfTyuq2hd
6O4xZ8PZGOQlZ4luIZcdpiTOStCRcaH8GejhA1J51xoMftR5bhNvRD3F4iZ5SY5cgqDu0OVWZZI1
tS/MC7OtTnyn/0k5NptR3gdC5srTpgyrCdopX3XPuNRrnHvtILrWPfVno5ot4tTi1w3O8Vi73SZo
O1cZyr40Xzh7QK52mzpcAqL9Bv0polbR0PYzZORXcLoA225MZB2Q7RgtZCsHDWzLy6L2kQqOIFs3
OW8NTEw3VQ2TIkhAHxTOu4lr8NKtOFpwelpTlqD/Qd1xgjr7pRUjZJtSpCaUobnrikQXoKFc9zQp
xypEfpcZZ1hI0tkjk3ioeIeJmnvzrhyvEIrgW1ObiNsuXLm5Gm1tHXSgmSw1hvNTuMgHx/Siodnf
1Vl/a1PQmlhm/kNWshJopTstux6ElxzAgyrp90v+Sk6lcCZZ8GtkOVua6E0rMlKCiE04K5oYA66n
9kMSFsdkri3iQmE+p5RxaHrDMFMboAYElZusMOA4AQVjNibULesfVeOQKZcKctkjsDAqT+qRnkbp
rId44R3GquNrsyjqvqp2VLbzUqr84AvD4NZnam1BIzIDQ1uYbiKn1xb5TTbT63wkwJZx5U/JC6xz
ilKBeT4U8I21ove+BWjNVzFTaCIMp07zCp12gJRTG+S2TA3Wtxzvyi9kIb1g9BdoYaxB3AXavLda
zeBwH6PObGPSe9hYMkIKRQBJeAq2I05wgtGAw8bA9sy+wFVMU2+jTpaDkzjNhWZU7IM3MK072cMz
l8bWUIJop+XuoG0V6UYxp2pkeddybcXVN9VtPSK0NtJwIBEz3e+REfj6iayWiTSJnb7J/y3ZPodL
7ffhkqNWkm4LmPzenwHTEZbkCup82EfZj5I4fzZr5QMozwCv6dcSt14HTPtAJ8SSa6qmCLJCZvcl
YCJtzB8QNKG5klD+M9qP+Q5KJGihOiZZYLxVR9eFj9bbsq3SGkwLIEFno+GvNfxh9DajzcBaGtMw
W7QGdavQjU/0PCbv17DObZRlkNdnPo0/3G5mKE5dpCh/NJqy7qp8EzX6N7cCPJ3WJ/2o0PzTV6MP
dSCSsmHqW943uJ4XLfq6czNJNpiUmFPdH1BviJmZI+vgKBmAFsYRQcJO6vRrpvlHTZPZxyky97Yv
PBpI9CYjbhelE/0wJWOhucq5T/ErL2mswNe57ZQWUkdqntnUSthKoPJEiLydNWZ2b2YZeXdPrXj0
LYpUbaQcGoN9XNfWoeYm1xSjHrATOKl0R8jSX3dDm4Hg8ZaZ2aBNzD6RteaZkVnruEa5xfGNGw3K
Oiam3zvfXFQtG2mpkIN3jn2uOyU9JCDqXXQadjgBSYrLmRXgD8aFwCdK6asjAOAZXkiyER7j7dRP
BEcF8gix34ixHo5Gis6mkyyk0PneE0ONtjnWGzs7zYsLAOCLhKx0sJQzy8CWQ+svByhFfQgjVkMB
XlPAr8fSbau7X01dXpgN1UAHVyOci5IfwQDtinb2LIGrBH4kPB1ahg4n+Au5dynjRGbypdAPgQ4h
HlzbHm34wmpPPRnhRfw9wDmZ3XRo2isfdhb/HSwoFcSzuki/NNyGWyB9FwXktHqXLY1AZmxshTbY
ACCb9xCGEjucbMezbLBl8PPaZWBnR13n3usFUTEwzWs9My8l6HNTqTaPnYQDTmNYaLbk1MmD0r+U
8DUxQBXDQqZU1RfhNerRd9DYZqmbgKGM7sO0/OI5nMBM1aCOwkOtclfpIPgQJbGa8qaAJhaaLiBV
Fq4wWRBBs2xmI7rTxhgt4UatIlWL52nTD3O1ah7AIeQz3US0jeB9m2XJ3MEVQ1h/+xyxqJ8ByoHY
0ytwOisgdBId2cnYk1GaipOfAEBDtyai8NZQoJLJGLMA4xnAwTa84LRBpAWdCmiwx0oSYU9R3Qam
dQyb/DJts2BqBfg+Sso4LpOUgljqlvSqB1JEgF/f87S4sltevNF5s4EOt9y4924rKTOtNVBltC+b
zl11GvA5xXUPLU58E4NJjxqTvehH7BdKhU6J6kUVrgKcwsICCURpHDYwJ6opxVcqVozopJbKdd1K
MzkyaWUACFBEtxS5hyUqfcl8iC5BVSjYfqDdNG6kaNjUrXnt9e11FIPH7e1zRD5hpHojhTWVcgii
3F+QlaHyg+aKP9YLf2jNNYYNnATFeakxEB1MpWHDex3WemWgjZXrQL1hQKuS/qD21UksSye9XKdz
dBLTOX5kGzrIqyGvjWlmguOWLVhSQ2dZk6GkZqUW3VVidRmifbWydFWPU6FGVbJr43TWNcxA/vyn
GnNUGozYpSlNQcmOpUuaGA9VwpTQzSQgUbdu8rI4rWJA36qiP+S5fGZJ3aIKKS1KaqzPOQDjiKGE
C18ey2NXQcgr1XnbjPhRkfLQUcpsaur0m57E2YLiMmJSge3Q1qK+EQ/eytXNfpUpw6Yw4cg7bI2U
oxYF0kE0cPWTsfbPqlhLOOIBExsC7aoLkw6IJFi/Sl6GpX6dj+yVmXKleIU6zUaAm3JmbTwvX+em
D9xFD2ZdAB3OkJsbyRyVKdTLYh6HtGZKg0kdVe631hy/lTVl90r3Vl4sYUmnNEKRNEKvpbnKbSWZ
lRHvV5Og1tCumnagyiZeQgelhHrGLp/5zhkb3dIrfHD2enWNmOOXSK2/lgU6lnHUfNUdrOcUtVMo
mKswzaoQfxnbN6aDzxkw85AkQY3zsKzCq9TUlmMOgsKNlG9dRNnfwfHOiB1UzZxI4CBNDnbql9a8
6Kr16N52NM987YImzISu1xeqTDcBImAQWeulmWanak6zMI+VaiWH5oPCRj9XUEKnrsvSplu5kgwK
J5Y5BvPYCuDD6vosc7rjKo+BVagrq4/ZfoNhPg7KFXKkR342jBNI21+tmhaBXNTroj4VOJvaQIrA
w+YEwQIQL5kTLNWihFheBl+VYVzCmQqP6bQoqK2VJ85gSQsYK9FCq/twMtJRhPlOGdpwhbS6t8bz
F7Vp0xb02Myj/zA02OnpffaApLd/0qX1RMclNzGsr2GWdMuyDgRgvxiHU4Xi/NSveM+Y/pkrz8bp
L3AFZrdau/WIhQbQ4DN5lLDyA1d02AKiwaPHtjeNPgzLsYfR5ed2MSd4hAvS3kViKCcgvw7ZjdYm
CXdk6zQXa9pGUqlrXwIrZ4doC/pvlbSiCnUKg9Vbpb78oA3yA4yNH4QcOER+vxpkasc2ijqRzKNz
j5WmZLOojzGrjehOef6STA77GBfNeZx7b1HpaZeDUofzrvDnBSoVFHnHBcJowjrKPPIEvOhHLa8V
3b2MXGslSZ0Kg57kOu9xjGwSZRrF8g3DTxRX4ge4EOtW9axFDsyqrMxlaGMyaGhWuiDdJ5Uq5Rz/
IxSslKK7Teuetld8ZaCbZMbGTeIUZBIhzZMxOux0c1EGsGhYJ7SQ+oVS59cIZNyxuZ7XTpdOY58p
EJjFJWDoBRucsux0VEAdBfqND/LEGjGyMmvMjMLkzHJgpEaujzqqEw3zsoeizL4fz3xz9OFsV/Ok
RyM1N/UKooa6GSuac3HXYbwLHRcH5lMOubdlmR/3VmxRbpbmSoCnb2d/I7TQ11Evy6I9YuWuQA7K
AL39mxxGCTIJYHYUQm2kHAdufeTG2VcjV24h8hEjUutrpfYnGdkPCsoO3WS8J4BbeV8oR6RTBRvS
MViXenlCX2aRdyqtj8C+8I2cGC2ZN03enoy9P0FP/UesG0hr0Z6stOG47e1mNZQDddbePEkUO52a
CRuhhBmWEdAkM/RVlMFPl8ejptQ09C5A8pgoaYRdkpxr2CTNaHJJyHCV6qz1QfYhvixobird7CQd
pnll6XOc7FaVrtJ1lsMfVscZxu6bcyuH7+GUbbb0nKo6TgoUTQqtwxnOstmU3GUUox3oPML/1Eco
IFAgYIFmLa1NgRQ0/ezQeQQPxo9AwvERVPiYhfyrwSAgJb+uXn5Bfr3ZxpMVv/ZnNmaTPamoG4Bf
Qc3wNYLmsXwpZKgM3XlWJHopX+oHDpkYRoc6QudPdJCXbEw7IJirpHCaUB8S6dM/IHaQ1b0FzgK+
FTQLpCAUjNaEQfJrCE0vS15blinFS1GnY8l7Fcq5VPhejcsW7SHlUe/qjdYDFBXV1nUagLKqyrq4
kVdaQAosjsIM9ZyToeHcRH4hmdPEiodxBagXEIRWp41+iIrbeAW1yqNzrSAvbpO75VmIH4k3OEeK
leR06EujP6f1cakNGVmSOXhWddRGYaV9b6mr2cDWi7YFiI4BXqu3AQZuUoz5QozCUZDnmTqnZ9VA
JpAQa5wElUufIhqcubCSlGdVemfEendqkX2e6Y2cx1Mlx9hrkbm9No3bBoYryqeoAHWZdia3ihEd
t3F4VtZIDyY53uS+c64p8oNR5fcpQcmt5GsLWbi005aGZGLtK/MUsPznDsoHTjI3+uTQHdDi1iJQ
x1WpzOKh+Onb/iVdv1NFzX82WnsVYxI7Z1MOv1kRtAkH3uqJZOUl7EzDXMeBg9hFAoxjVDGZkCTt
px5W8AdcRJXTusjn6HsWE3IyY652Nm4qzmmVAiAcVbvlyDeqyzq1bgZFuo1VJLWz0IfTUteeih4F
2klMCwI+tfEAuIS4BMw5JTLLm1KvtX5m2ql/WUF5mDcWBsZOL/e3OsaVjCKSd5MqovOmS+UwC2Gu
FDi1r30JSfrfzzFVwL3eTTFdNWS0eCn8i2bB2ylWDGXheWhOnRKANh2ZxhV6SRP4CjhupSB+J7Dy
5snSmpdzIvhaX2hzII7T/9MpQ4DN/7oP2FiaZYliCZUPSh3Es7f3YfSI/CBBnp1ytF8PMVbwkVe4
5DWcRmi4O/OidaF/qib1RdeWTzyrdNcK78iMimQ6WMOp48rU8NXxe91nzqJSQafVdb5w7fG7ZbjY
07j0osF3fgW9bFHUL4apVQH+7DtXJfsB0GD4/XzQnCVa5MDTEAzXcZEaDWc1agowKnWpg62bFDWq
FoGDhWaSruhfzzINQlIm5/Ou845VyC9kCDCPWk4ZSRLCJW+L0653tGXhCZNCzbvxcBBXtOSE1Eom
48yXcsREs5yCZrgcXv3+FQvRvDcji/WriWcV+yX1I+29lYozqp2TJ255KrcYDLERQOwvie1S4M+N
DJUTvfA2v//KR0PZ333nu7cp9a1VtpFXnRae9s1wOWVheYlHqrXSkwaRI1DJnkk1xUIyxIjpjYIp
GY7HskHbUTKOs8C+lQM6m6CWf1I65ThXnKiZeSG7453hFd+TLihmRVrkT1Z0/8ZkUU/8dUz+hi7D
ln4iv/MSkAXTUgayD+aRdp1uUDn9szwK2pXghEaGxTTjP//qJ9o4v6GZZxn4+sFKfutwrAGLMBHo
Boyi0lf8JwEZ/uabSQ6XBXqlSS0W9SUL+qbDTbyOlHXZhWmshv1ZXtMZzG2kHNzyulYTfxqqdKlG
Jc2uA2grNBaS5Kpq3HIlyUqzakYXTy9ovBjAu/Wk0LVTDfOUOS2Mnm0lhPBtttNalUkPi/aH03T5
dTbgGAkcqj93SMmnCHxaU6dxs2u9ak9KmVZAnWLvEfjZGe7rZCZd6l2icoSnu6Fqc691lVmlKDcJ
On+rGKfPZcjuAGHkUBvsa69oykWvI9YMcSU4i4M+mdKe+y7JJmClzv6SjmpwU1CmO/HVIV2Q9aHG
EBFEFYbgLFBsd0FhxVlh+SmcKlVzUj9ahOeYhceeRn8/HWuQKRaoU3zn9TyMJ2mTHDfFsIwczI05
+2AF0UwdYUhu4EwuN/o8sjx5ruJZHuFdjt/JF0bzJBOm5rKwN6fmmgCh978bOJ/3Jni1DC90r4i+
lkYKQE7YpLv4pdfCOB3fT3BcKYx/0/NW0Uikl0zs3IXhep+aaxP9vEkNjoxMBFf2Wviz+26HaDqW
7bxotM/N/CqT3FMdU3ebupGG8jFPot27Q3UuVfi/RzZVk7IeZZq49qk2OtBr3fHUyHildd7PIHec
R4n2AyIMlJLoTnJzdnHfX0dxf2YKD3qLWhZCIqi9kXUeokFpTOMGcZ8O83pwcvVUTYThJ37Ewt8+
E073VBW/5d54oetISRWWP5H6UYKRC3+D+QES1S4i+4zEOdR+CD/M4dCiTzrH5eIIaZIxoaJXejOk
zPE8towHCQdi/BmAJEoDZqrECNcJDbSM4jVedOXEwpwD2IxyrFnU0+OWlNuVFSK2YQfLwYjQioap
AmWT5NAw2mlrl8AMvQglDspxg0/tI0iQ1shCZ0HPnN5mNDLIHO8OpaEqyMmw8e1Y4FOZmap5+WWc
pqilBPphbztUHZGuv059F20iHUnMLO0pP4Wc8xwTuLIL7EiXU1Dl7sMA4jcAt3wYGcZ1Wbvf1TSt
p4hrTi3LOaVCGJNwG/j9do2MYoF5KNmlfkYdJptwOKmnuRIgwF7qV22UZVO3No6hUECagPI6lSVj
XcZNsFaG7KjQY+WwyKiPebUzjbXbSnHPpM5bdBBWF3TOlzXWivipJuWyGoCeA0+f2UX8w4+NhZ3l
LHWWSZ5bPQObfM/9at1bXX4YSZY9wy1VOfNx96ZlLPmX1NyQfNLRGWts97QtQD2FjjlXBwcfjhTa
j8YRAYmW/mJQAOChxElLfBjtSaOq7or6EvlrlenLwXOdmSwV1WFepEeej7Pv4DXaujK9EU1yRVrq
WYG/QJFfmJJTLsZoWCPkeAveVTtXQ8oA7H7RoRQAyPYRDJHACHi9587NMP9WWKH3s0pRF/FZxhdW
GD6M4UhVInW0unxKWf6NnwYB5zfxs/nBCem9r5j4nVfxk/Cpgw0AQfOo0/RX/FTIdU0ZZzA6iYIU
+lf8dPgJwRZEjvrCIH1JaAmtIqg6/Aj2Jh3BfxI/Mf74ED/RUgPWQxLgGKaC8MGb+BnXZS0jtSGf
1WF26zqpsTQjTTpSpYZqkK3kFwbbuTCjdk77yK0WGdz6aV3p6zIzUoS3AVcz+4zjshybCSsC/czO
XLZdcxXbfX5SjhJsMFmnMXWnoEo6U5MOmx5UTUazO3Rce0GdUZ6hmLlshH9l6gzJ1Or0my4tV3rg
p9dkKRhI5fmd2dnoxeQ3paLnQIY1UlWvuIsHJ5plFWDUoutWfd73wI0zP73A5mSphLp+LmnmkWt2
zrzuZHeadJILkbpsMKWg6OfWG6vx7tzERhl+gGztDXlxaKcOfqOZdInuSXzuQGJH8AViVawBTHEH
y5q5+HlNPQngX+oOdDZ1XCQc7b4KTEpkEC3rgJKeH90GqnZdZ04+k0L1IY+MHitT76YEOBGw6huT
zITDwMotnHv24RT5Nn8VOf1FKocnFUr5SeodhaNzrSAugP2BYLyo8nVuUUwdeQm1n9fT2AWeqtbG
ZmiqflpZ1a3d0SqscmSHCrApCESd27GuzHw3uAgcYLhS0kGoHwZU6iGl/ZSRiJORiiOeHrVCO04L
q8vGdMpJD84PdyMwnxZSc6FJQxSLoJkFIl9o3jYFL0y14IfUcRWhXFAm8yCt7DNHzYdljN7whGrz
IYK7DuIr5YNatBT/R8u7kAR+fwyMO0dtMcMa1J9xZgwm9dBMniEX45xSZPWmaVpCzYvwpKgN2mwp
eIu1hy2bT0d2Ksf2GepS9dQ06TZ7A/yLCIJepQCrKtXTPMsRdoUmOKkD8jSlQahLMaRl2INlbZXm
u5n7X6IIRauycaaF6tNRV9HxqjwGN6a3DjFh/GIFA0247EdC8RDGn76GWHGh2PlPWuLzxu+XDYq7
05TsfirXpXZoxsVhbibrvjbmuqedDUp0Bviox7QFpKuchV/lzr0xEqla1ZGTTX3Juilrz+C21WM3
px4h2bR/iyIRRk7yZTLUa5ngVUThZRB4c7OJv3Vy+cNwygzBW1zMBmDPdhk1M1SnRDqagiZncA1d
Wrcxek+mTELcOEMEnNc6RkvijlxZm1X18DXX1GbSKvkir0TTvB6L2dC3h5E7ylBb5dMu7n74jPXc
1HJ3mppBAcouv9XS/MThJGza2SL04QLYGJzVMt4apaCMxF2BWi/ROgqbox6iELZZMXzwwbivO+Ok
KxDfTOzwuHCBEQd5Ek3pMi5Dv/puh8URh+obJRq/KFJ1wf1xeNONidM52POhFsQNz7yx7WaOEp3Y
BXCmZpQvK0f7PtROfubpqMIFvdSvaWZKh/RQADGD1W+j4kpvpAc/jy5tMzXQdIN0MNE1tzp0La4y
lr6xSqgrly5whFCj/J0k6kUoU4y3Nd0EDlaNEymzommSMYkHO4YT4llneMgDd+iwrUGQDsKSB8tb
lWX82eQ7e0SD+DG8/H8QZ59vcasZ55/+T+Kn5xmcnOts/mi2+crO82/9pZfi7PYLPUfaLe6er4Ow
Ab71XdB+vKfHe/ndJeINrInmHudQDakgQ2ffUBzMn/lQHYuz1Hv+MeU2IrRiUQYmL378vH6N22/+
o6npr0bqPx0EDhBvjyLCV+E/GAmu82YoqLYDCeZE8vihzPRmKHAKUAFIWULLgpPSq3nynz3f3xmn
X7/FD2Mgqoo7j4GDRKcDrEDhauIjRuj1dBBuCbJNEUJU6vdyEAR47c059u8sibcTwUA+C/aeI5zg
xOf9mlCBy5n8MUi1PR0EcfrdcRDoTzlofaMD/rQaGNY3M4GNgXo2AmPW06zbw+XAe9t5EIQcDXRq
nvHN0zMFAEsKcfKnffPpq/ZvDITr4I5jAGxUTAGY+79YDXQeKb7D6WfD5Lv2bxDELrbzIBiKiv72
r1aDqB4TR9kS9nUmCKXjHQcBxo3Q5TfI5B8/77cEggMQYRJ852kP3sOZQFV/x0GwBYpapQkPiUh8
PkRIgoMtYqj+VFDZv0EQpY/dBkGXD3QCg/BdffowrO+3R5MfCwWwx+/av0GQ37eL/vkxAR0zOkWO
pmETKT5blgN5sm2A7tjTQRBNrt1mAvkDGivgUfRf5A8ESs1WFQXg654Ogrz7clAOLAEuUMV0EJ8P
mYNOiNQ1MoenSLR/y+H5OP9kPfxnWvd/JJJvTs0I/Fi4xnBwfo4OxJu3e4JKrRdbADgeezoThOnf
jssBtwIDiAlCBE8z4cMgIIso00pV9jY6CIjWjoNgH1iIQtHofR6DD4PA4VmQY8E0P4aPfT0y6bsf
nq0DjQyCNOF5Z/gQI5QDgGwKnpD7mk8L0cwd5wOka8hlBk317YtCpJI4pSN0va+D8BzBd9geNfOA
Y6MmeuhPRybm1tvtEVcuk+MCdbY93R7lpxvbZRAg5oOjUbDEe//0KsdqbGMYoD19emX34GAcaNZj
Dvm07X2oK7EOxImS5um+npqVnetKpA6iP6wDVX4/BfQD0LvslICXHz97OhGExv2OG6J6AKwaCqSQ
n3izCSBqgYOyTd/7+fywp2Og7B4ZGQOe30BqY3sKqRgHHBYJGtTfxGdfDwnK7kV384AVT2dB/8Wh
UfRg+Bm1pb3dF5527V1CAydnGZtj8JW/OCSIwotjojW6r9m0QJ7vuDHYdOOEAs3zDvghkWQmIAtp
g4nZ10PC8xFul5lAFGRX4BEB8YiPSDPf9aDQ6VEwI33K3Pcvm35ep7sMgn4gG6qqQZt4Wg4fIgVT
BTQwdnlPdch93R6fyz47DAWFBYpLQkcJlQnx+XBwkA8MGB46B6c9DZfqzscm6mykBiQPCHc8ft6n
D+wMjokFDz7xT6O0p0Oh7V5eoOTI4UlX9eeh4K2/3R+woHSIpo7zlGrt7dLYPWhSXpAxhvozYLzf
Jai+6ui7skmgrcJnX4dC230obDTf6FjTs3+a/8yz97MC0iT/kIHt81AIhZ0dTxHmAZ4sj0TQxyeV
tywQlL90ALdPw75/AVQkhzsOAvEREqvOofkXgwCahw6VzI66p1vlcxVgh9CpcVxEDdTW4C49frbM
BMTYqT6KoMqA799M+ABL/+d9OgFgUEgkOTU/fnjf73cGg7OkMCDe00EQdYIdl4NGuk3F3TZ/Beex
6FyAZsHUYU8H4bkyuMtyINHW4M/DU3iaCVsOUaoj6vHPjdH9Ww7PiLNdBsHGUPtxLjwPwrY9QSig
4p+x1ydJffd0m3I0tBQKjk9Hgo+BUj7ghzLHq/0+SWq75xekD/iz0LN77tF8OD7JB8A5yMKey5/7
tzSE+9uOm+RjkgU/6KX6+mEQODOodOvQ8N/TTVLIIO84CBqIDtmAaPy0R37sUpB0CL6WYu1rDUrb
fWegFwHMmTr8cw3q/SZJoR7Ui8xGuqcTQd99S9BhvbP3ESv+DARvzk2iLO3ACUG7Za8DhbZ7MmHR
tBLGVJReXx71zVCAfGSsQL88b0L7tzsK2ZPdNgbRuaNPQenl+XVv2R1FPsV02NfdUd+9zEAb39LR
dX8pRn6ouECQoELPEXNvM6qddwZmAl05kwL1L3YGwZRhXwAP/VSi29v58JTw7XCaZiggQNCyRcdr
e3Kpgn8kloCL29dIsfu5iQwbLTNA0c/z4cOigAAOKo6S7N4Owu4xQvTuyLBF3e3xw6R/HyMQUiOT
2Fvon757mQFNcB1HYsP8Ve9OgT8mGlfI4Yh4tH+BUkj47BYoNaGZ7phUH5/3hPeHR7ZH8B9IEQha
0V4OwgcxpX9edYM/ZtHL50Dwfh0AFLboWwL22den/4z8QdQNNPlX3ADRyHeosZjP8Mq/tQ7+xl/6
k3s89YP4/pGaHDxU28jJv/oLL5zcjz9/xbl9ZB6/+ZuCqvz05U/MXPH//7O5T4J0FlR1GdzV6uNi
f/XTl8X/+E3Pv//8iB+//M2XvTzXyx+ugodyU94hRPDIxX6+0dNNAsP5f2P+db/Zzhj+627++7/e
3uyrTeD3V8f+9eH9xUW16OXPtnC4X59Cf3vxZHOflS8XOrz/7/+il4HFnUjJd77zCQ7h226cm9v5
2tNNvGl5JdXLtV7dO5vh7tfH76L68EoZGBbuJ1w8rcvNH9Osqrd9BdvZzl8xe4j/OM3KrePPQWTn
68/jP2ZZyeR5udar8Se87Xz9RflQpdsuTlDf+eLL+CFNX67z6sY5pu587VWT/Mji+/rlUn9dXiBb
d778YZI/lMEmfrnUq8t/xpI9xC10y6U/Y8UePZRbxlwAanYelKMg9bZsBAI3ufO1jzfRlj1MYNA+
4dJV9bBtTD5jgR5n1R//m3oP8cO2kfmMJXqyuWcDfhmHVxPxM5boyQaT+C3X/owlKq6NrcGWWxco
qp1f68lDep/dBdt2L0Hd/oTrl3cP9y8X+mvcBfNv94tn3PvLdV5d+zOW6Um2dUw+Y5Vy6fqhfBi2
3PlnrNTTTb5ttnzGOj19aDcfz46GLKAZO7/Ns3LDFvByoVev8zOW6Hm8uXvYcnYUDeSd7/wcJ4Zt
hzvRh9z54pcBR8cquN8yMqK7tfP1rzZ3JSlBWm+JpQKH9glfkP4xecBzcNsXfMZSvdqILyjTTXm/
dSMT/a9PeYpZ8OBte4jPWLXiIRasgLugutv2HZ+xfMV3rLNN0WyLVgKJ+imjdNwE1R9nP4Iq3/Yc
n7GYxXOcbOqHbdf/jPXM9evNH5NN+WOz7cwgeomfMVJ8xxRj3y2bteinf9Y3lM34crG/9lTR+dn9
C/zN1pxQ/5RFTQ1j69B8ymIOqigYsuZlEF4NzKes5SzebDs9iEr37qPOwSTZNmc+Zf3WG8Se401T
vdzpq6H5lKUryixb4rCwVNl5aK4f/M22oTE+Y8Fec8YP6i2HNtFK3v3Wf2fx/VjF26Fwdt381hB1
18v/3uBn16v/xqpg50v/WsX595feVpb9s3nzsVj7omy47dfe1qLF37iLHzbl//w/AAAA//8=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CFD1EE39-0EEE-40EB-B0D9-75F2B395893E}">
          <cx:tx>
            <cx:txData>
              <cx:f>_xlchart.v5.10</cx:f>
              <cx:v>Sum of Amount</cx:v>
            </cx:txData>
          </cx:tx>
          <cx:spPr>
            <a:solidFill>
              <a:schemeClr val="tx2">
                <a:lumMod val="90000"/>
                <a:lumOff val="10000"/>
              </a:schemeClr>
            </a:solidFill>
          </cx:spPr>
          <cx:dataPt idx="36">
            <cx:spPr>
              <a:solidFill>
                <a:srgbClr val="0E2841">
                  <a:lumMod val="50000"/>
                  <a:lumOff val="50000"/>
                </a:srgbClr>
              </a:solidFill>
            </cx:spPr>
          </cx:dataPt>
          <cx:dataId val="0"/>
          <cx:layoutPr>
            <cx:geography cultureLanguage="en-US" cultureRegion="IN" attribution="Powered by Bing">
              <cx:geoCache provider="{E9337A44-BEBE-4D9F-B70C-5C5E7DAFC167}">
                <cx:binary>7H1pb9y40u5fCfL5yiOSIikenHmBkdSLdzvOJON8ETp2W9S+kFp//a22kzludTtHBqZx8TauZgaD
RCp2SQ9ZO4v/fuj+9ZCsV9WHLk0y9a+H7vePUuviX7/9ph7kOl2pkzR8qHKVP+mThzz9LX96Ch/W
vz1WqzbMgt+wiazfHuSq0uvu4//8G0YL1vlF/rDSYZ7d1uuq/7RWdaLVL+7tvfVh9ZiGmRcqXYUP
Gv3+0V0l4VNeZeHq4/Y9/PvHP5JVun5cfXDzOtP9xw/rTIe6/9wX698/bo2DP374bfxzO6x9SIB7
XT8CMeEntmnZ2GZEPF/844ckz4Iftw2E8Qnm2OIMRn751Stg5V0cPfOzenys1krBmz3/f3eArdeA
r/HHf/8KD5uvsQEgACx+//hnFur144c7vdJr9fFDqPLnz1X1br551T/vnr/Nb9sQ/s+/R38BX2v0
N69QHn/a/3ZrG8j/AjJMgFWzrlbqADDbJ0gwjDDn5vMFaG7DbJ4w2xSYWGwb53cxtR/p3SEmYL1L
dGRo/5EUYbY+CNRMEMoQtV5WtD2CGokTDhel3NqGejpH+3Ee0U8AeURxZAhfrh5hNR8AYXYCa5lQ
zOnLYkYjhLF5YjJi2RYS2whP52g/wiP6CQiPKI4MYafW+hBLWJxQBKLYfGsJY3RCqcUQwgD9a608
maH9+G6TT4B3m+DI0L1bPVRg62Q6P8Aatk8oBzltgdLdb3ehE0ts/oFpsLlGQL+Pt/1o7xljAuR7
qI4M9z/S1WNeHQRzAoa0iW1QvGPri3OMBTHFPrCnM7Qf6BH9BJBHFEcGsJsntVodAGBxgjc2NNhe
zzCaO1Y2PjFNmzBh0W25PZ2j/QiP6CcgPKI4MoQXyTrLDgIwxSZFAoOXtL2CMThYNuJglW0jO5mT
/cBuk0/AdZvgyGB1c/D3NwtX6UMsX/vERLYQhPD9nhPEQhBobMoR+FSvza738rUf672jTIB8L92R
IX8nVwfB3DLBDrMYsclbgRF8Qmxk2vZmyb/GfDpH+9Ee0U/AeURxZAh76+TDVQ5h1n9ebFvohFML
LKzN6t5cO0FOCxS3RSDIOZLe72JqP867Q0yAepfoyNCeJR+8vAI7+59Hm9gnHAtG8Y+ItoAgyLau
Nk9AwCMQ5Gyftf0u1vZjvjvEBMx3iY4M8zkkALJDAM5OOEGMUoRelvcY8E3E06bwDxqZ3dM52o/z
iH4CyCOKI0P4EuyzdbXuD7Co2QnjjHNi/tDTZLyo0QmjDDT5OFH1Hp72o7wzwgScd2iODOllnX7P
k0f9zyMNFhm3GbKsXR/LOkEMEROylS/rfNsgew9L+4HeGWEC0Ds0Rwb0aVqsq3CV/PNAEwxqGNvU
IuglWjJe0oieUJDqFEHMbHONQqDv4Ww/3jsjTMB7h+bY8M76w6ho28QQO+E/kpI7KnqToBaM2fbI
tT6dyM8bCL+mnoLu6+ePDNm7VbaJmlT1cIC1DClJbiHLROxFNI+TzhA6gbi3bZpi7Ea/i6v9KO95
swlY76E6MsTP19UhgqD0hPDn5OSLWN7I5S3/CsztTRwNEQx+9uuQyVR+9qO8RT0B363njw1ZKE07
RJkQOwHQoNzLom96UgzuQd55DO1Uht7Adot8CrhbBEeG7l2o4rDP639eTm8iYQRRCGb+DI6M1i7I
aQbFQxTqR7bX7nt42o/xzggTYN6hOTKkL1bxAeKdBAQwWNXchITy87UnDykQRczmI208lZ/9CG9R
T0B36/mjQ1ap9QG0L7jHFpT22QK/QGuOvSYo/mJw27LZSERfrKZy9Ba6W/ST8N2iODKEP6/lKj1A
GhIQBo+XmRS/Ec7clGQTMLYZepkDI794Ol/7cR7RT8B5RHFkON+F6+ogZZxQ5cdMAtGslwqvfSsZ
bpo2s1/KSUY4T+drP84j+gk4jyiODOeLXH34IwvWyfoQlrV1AgsaE/unZT12kJF9gi0C9WGgtjfX
COx3Mrcf8X2DTIB9H9mRYX+1Kg4gySETiQV4U+AuvSjrHV0NkhxUtQkG+ba1PZWf/ThvUU8AeOv5
I0P2clWFBzDDYN8UBLwoVOD/cKTG6xmUNCUIjDAxCmhOZmg/ttvkE8DdJjhCdIv8ILWc/AQ2UMAW
C/uHob0nyiWYxW0Mbtbztb2CN599KmdvI701wkSwt2iODO/ragUa+p+PixACuSioCLHZW5umYJ8k
hfJsNlbM0znaj/KIfgLGI4ojQ/hynT3mD+FB6kTECdrAy/kPdTxe0phAGRhnhGwKxF4Hrt/F1H6c
d4eYAPUu0dGhXT3All33ANuaickEA9/pRTjvqGcIo9hIgLW9d3vN5XoqX2+hvUU/CeotimPDOYdF
/c/DDOFsS5gCEhI/0o47ZflQ3mth2EaHRuHsy6kMvYHvFvkUeLcIjg7dg4hr8J5gk/LfS3inahfy
jBhyygIMsJG4zqfx8xa2r6gnQfvq+SND9mrdrA7SdgKgY5jbxPyxU2rHM0aQQ4ZtUta4XmA6R/vR
HdFPwHdEcWQI3ySrh/VhNjvCytzY1C9bGnejm4Aw39R+4RcNPVrD0/naj/OIfgLOI4qjw7mGXjf/
vAqGXKMgjEO1/Y9sBZjOW9UgkI+CZBToaDIqvr5JpnL0FsJb9JMQ3qI4MoTvQOsdIh8FUUyLCAaB
zLdKr6GQE0HtNcRLtvXwdI72Izyin4DwiOLIEP4UQnsgFT4eJgAibJMS8qOma7eoi0PVFzeh8Gck
qN/F1H6cd4eYAPUu0ZGhDfWJH5w19LQ6UD0uxZsmI28UekGHEcvEJtThjypE3sfVfrz3jDEB8D1U
R4l4la2qx8MEwGADBbQfQDb5URc0troRh4SVZYLdNhLkz1PxPYz9CvidcSaDv0P5v2AC/JrFrVff
9If74+eX39Pc7/29/SD0wZhAP0zwcbwTHGiGQK0jaBT1fP387ZcWf9CC7e+GhC/R0H087Uf6Ne3W
O7684q8/yv+6zn33eXIIIW3DnjfYMAH54bFNDWWcHEoFYDvUNmRTGdkP2hb1HtS2/gq6Um49f2SQ
brSNF66DQ+D6bC9zCpufRriC/EXQiwAE9A+1vI3uu3jaD/HuEFug7u+7uUt0hGDPIbX4EKqH/Oc3
3yPsoErjvd1VOex54bCr6e8gx7ZzjE8s6DBLbbJH4/7N0RSv/W24d4eZCPku4RHCfpavyvpQFSJQ
H2JhAPj5GhtbYGJjAVsthNhf3gcC6B3MvY3/eJCJ6I/Jjg37PFm9itu/ad+8e8lvshYQ9dxsVX++
xkbXZiecJaCkc8ezmszRG1hv00+BeZvi2BCGBXRRh+rD9fdQFYfQ4xSq9zCDNAXI+M21AzWU4kM8
Bdp07pHu72TtDczfeMcp4L9BeoSz4BIagh8C/+cSMc4hsv2i3XdC31DeiW2oObFGZvrGoJrM1NvI
bw8xEfNtouNDG/Y4O6vq++ogJfvWxlzbFHW+sTVj41ELGzZnQI/HPR414P4+9t7Efs8w0/DfQ3iU
c8BNDjMDIAwORfqwse6twiJ0AtY+gsz1KN31gv1ktn6F/PYgk3HfJjs21PUqC1Wyqg+R4+Swpc6E
3p7srf2UkMs2N9s3+KjYG86ieAdXb2C+O8YUyHepjg3xTfP1Q1QuQJkowRgOy/gh5MdRGnDc2MbG
36lNuZvM0RtIb9NPQXmb4sgQvq+/H2JXzqYMGEFbISgce752dkdDd33YGW1DM7GfsaCXgPhUfvaj
u0U9Adut548M2c+wKQcOMJoS2HpfxG3TPQxaWEDg5YcBtscm3wTUwUAb2eTvYGk/vuMBJkA8Jjk2
lGswwg5RrABtSoi52f38dmILi40ZRkcr+PNkjt7AeJt+CsTbFEeHMLTSTw9yjBFssLMhGQ1a9kVK
7wmuwN5phGy8g/F0nt5CeTTCJJxHNEeG9BeIkNYH8qk3m9yJ+VbX9U2Zt4A6UWaOjOt3sLQf5/EA
E2Aek/y/QPnt4+n+PunPW+nV7PmMwFcn1P367vMngrMNR6Q/9kHtSYb9tI1OH3//SCEC9io3thlj
awPV63KAl1D7f6jW0Nn9948GQlCdstkfb0IXbgrdemHAdv1yC0PcZVMpDl6YDeUMm3BaBq3C5e8f
LYimo80eAXNTwwANvmGOqLze3IL+klDPZsMWTejeDp6ZQH+f33iTJ32QZ39/kB9//pDV6U0eZlr9
/hHBbxQvjz2zalIB/TagZQ6DwD6BrA6498XD6tOmDxU8/X/0QPKirOvuKmuJmDWtLwsnJxGP3Zi3
zS0zaH8WdU0Wz0wz1vc6t5o/Y0t1paNEVn599fX2cQNmzJgbqNOBXl2wfwmOb9wYM6+5sbK+iIWs
mytcZugqiIfMd2qeM+l2jc6F07RWfc+bwgidKrV16ZZRFQeOPyhuuVC4nT0Krc1rGEPWHk4S9OdA
DRstekb9NeoN1M1/zTGGWtAdjqGFLzSuEZRDD1dzxHHIJWDb6yvS0SDwWDckfzaQKCFzzfucOk3f
ocgLuW87A2d96PSxSRZpU/XIq5pcP8pOKeSGRkE9BYdzNo5Opdk4vKJxMAvySN7EtThLlZDKA8tf
fFGyPI+TlnazUBnsMqxkky5+/Va7MEAJuwltTKF1PGTun1/61aTgvRG0RpGoq0z74kse2Ag7Voxh
ahRZ3d20XSXuCh8lf/36Zzdz7fVchG1rcAYFJ3DWDOw/x2TD1qufpWYXWIUKsqvMHtAVimV9lanK
DW1ffvn1L8Hy2fklAYWAHPoJgcNkj+ZZkVn9UFYyv7IL01qVbV4lC1/bPXbiQs7Msk4Gl5i9nbsR
oW363ybNZlJsvyhMFOgbasG5lND6d/zzkGQLZZCl4RUvY7pKo5qu4mTDAx1SNWNVnju9CdAv2qRs
sVPGOV/rRKjTVvTWRcdIZbqkjfLYjXiW/kmqAhNP2n2/Loym8ExjSLlLRW5VS0rYUDu//nqb/uJj
/vlGbEA4GM5QhVqebaBMVtOMUt+4RLWfrsJKq8BBRqwzyyF9nwVnrQzj74EtiotuKOWc5VYXuhg1
/EnzYcjdXgbctfKoWYcV4Y8NLSQ/+zWTFt0BmVgEJtHGY4JkBeVgUL2eTqyyQ7OSmlxGVln4wva0
kMOi0x0Rc93UtVt1pXnbpD2tHSkldyuULRSuikViFdiNkzL9VCQ07RyetMHXNkrz015p7RS0LP5k
KrY9v8x8t86jKHRCTaLW8SOVXbWFoa5LYyCzIEAicozBz1IXNzJdUqaTTzgKboI+I52T1Ly80n75
WePUIB5rMHzIsMcgG6x6GByztaOLRFL73jdr60wyG10MQdcItzWllcJpSH14athVnzptbw8eaqnh
DVH3UKhS39WmwaXTpprPfVXWp5aP8edSojZe+NxAoTPI2P8OQeGqccKsNL7VKU+9olD4NM6z4hSV
InkMm4LBuidpfBcKv+NOU1rBWeVXtdvDd1ggC4vrsk27mdVW5RyhDjWzBA6bCdymDezSbbD0Z6ki
lVcX4lr6RmB6COV6CaoGt25mRsyxNU/+6lJTnuNKFHeUaLqoRWTguWLpsLJZXs2U2UXDvIntYG50
nbnCKmmfVFAU1B2wNmsnC3ATzDsd5bA42nbWB01tz6vcl16iSbrM4FEHmh9UOXzotOFOpKLIcLnf
cofntBscSye+S7SRpYuKxbPAqnvztiXIgvOOKzNxIphJek50K9SiI7y7YPEwJP5t3ZY6TZ0+TPqs
epS+xHi4V63R8VQ6ogJRnj/gPo00qeDowbouzCsd6zTuzkRYDotG1No/TaswLJwIJ/mdyQ1yGvWE
1G4NGPhOX5qiA7hS2/Yy3wd9qJO4LWcsbgPTrRKN/GtZmozny7jnrfT6LhH6gilNYEa1fo5U69ag
C+fMkJF/3cDSYYFb2oUNE47EKp1nSVgJJylBefmzrgmZa/iQL6JO75uZBWcX+WnqSlG3/rxNeJLO
lA9WwZxmQTq49kBBYmY4tmo3lZWROI3qA3WjQiNNZ3kQ2k9G3fDQ9Mwc60Vo2bV9RQ0/8M8ywjWn
kZt1qhz6pYIWjpWcFYHk6cxXzVDORaWycN4nLO2XplJp4VLcJ6HLO9oniyosQ8MFWPFXo0gH5MFm
gDj14D/TuE4i01DwybPsa5SmIj0lldDJLJaafRpqTcg8MnKMzmUrFc8cLrHUC79qiuwOlDE5i4IB
x/O6AA5muU6CYWajbhCuHfVFe5naPUxtA5ZK5fkI1WcVoTTxAp8EtcezBuAMuQL7JBsiMqyTGPaj
eDYwkHqkT2V5iszQWgYhj5mL47gkXpiHvjfUfkwdo60KcRP5bWS5JCyjwUmLaDDOTT+x5qjwAwrs
Cl7MUC+H/FSGqA1msbBk62yec5AIRQbTJyCl27WhMTi6C41vFbSK7g0nhHWEr9CQhUPo2I1lkM99
0uL6ihWiz71MlPqS1hmopEDxGAhESuBr+aFE2f2AkkyelX2adHPV0iE8RzrQn60I0xXt/NR3bAST
d15nHSczxYYQmK9RlHoJKWPl2q0/C1FY3idtC5ZFFETNnaKs/V5Ukiwb3gb+zI6piZ3M9mEcmuRR
N8+qBl0NXUGsW6Up+oy0AU+0zFC2q1HPu1mD0yhcVh3G7WnGA4WvQ4OLL5lZbiZnFJVqwRMl1U3X
W9p2zbIFbGSbAWO5AqF7DhpMfCG2CbM7BSlZebDXvstPtRI+vomqOo4/YTsT1mlnRW19qTu9MT5l
393Q2GDdLG9T+Ok8H4bG6XCqh4UZ883Lb1hvQT4BX0WKriyawVvUJYVPJeM8HlwRN7B0iiSIw9us
4rDkqxqsggDugUzFOpPXJbL6KnNIIU2Au626+jI1ZKGc0KzLbt7BERNk1jcl3ggNWEwuvBEIkE6g
jZ2ss/SLD2fLnNlNGNqOLWkM86IP2KrNCLDRVVH/iejOVOcBmLnReV5kcXRng7ZYqMxEV6UIynvY
XMFKR1oyxGe5HYj63Jd50Hh9xcsWDNyeLAoMn9U1edk/xElMb7pamfmyNPsm/tqyNFDL1DfSp34Q
GxkSlon0wA+wySzEvVTzgqXiq2H66Txti6B0uAVirq9a+SnMtToXaRxRj+IKByD24HQkp5FYfKki
owlmCc5gmQyGT8SpleWoXKcgkPszOOAO1ka7kdiziBrwRbtmaGagZNryHFU1Zq4vEt2ApiWNCaZ3
GX2rRCM+Gz2Y6WeD0BV61CrrlZMixJvTsMUwVJciObhWG7DgtABYWteIBZsPedPoy67nyV3UqNKx
uVpaadfQ5dAyACc2kRoWRRLn+WXGOuvC0KaVz2SZpc150LeFdG2qUvkZLBH1aIoMxAiITtU4sVSt
ckTb2CVogb68S4IShX+hfCB24wxggfV/FpoYAgZTfjWT3IiDM8Mv2u8yMI3GTbhi8WkoTHTbKcMf
FlVdqnAWDjVM0hDriNx0cTLQq5QVSeKURWOySwtJq3N7sG7UrJUFoNbaWRg41cBTkB1KJTPUka7y
mgTb1WKwS5j9sdUF3Ov93lSuXyhWfm1pjz5HsoK5BppOfIG5nqqbTGQIBCwuRDS3U8lap6vvsV23
NnLiuOF/UpyVrdfSQFuXlp/YzafSV6IC5Q4zelaEBNAEx6HvLkKi4/yCV4UkN7gzE3bqd7mA9+o6
I7iMK6NovVT5IDPAGqv1ZZL4wH8l4mCupB1Lr+1M87QvLVj3PWM8dCxf8stnq/RH7OLmxch/ccAf
8qKvwkDq0R//53Oewr//3tD8/cxzmOI/f7oMH6pc5U/6l08t1vkmg6PGD22NDL/+g7tN+GLrDzuh
lDeCJZ/Wqk70GzffjqRAAuo/QRHoTUOoaYL7/Hep8W44BWKNarWf6mc4BbKUHCpL4cBCiBKAlQJG
/9/hFChAhwJEG5pbUYivbg49+xFOgd280FgUboG8ps+Vy/8Jp9gnm6NNofU7zHrY8Qtni/980S00
IYT048+vwymYw49suUYUdhMiOKKcQ4wXyiE3HfBeOx1d6wegCnzrOh4K3p8OLE/J90YS7V+DmCFp
emmAWbu0fZ64Ri3veiuwnJhZhZfh2nSQz0IHvL54VgtteYqm5tJs48izO1K5dZOvUD8Ebk3D1VCq
zksJhAUqxc6TNAAp70c3UQlrK/D1rEiV5TQ2rG+7H8xlKJjy4hr5YALHjdMaaTOTlU48yfR5nRXC
QTz82iB2G5JswZK0cvPOy5phEZa6dRozNZ04ym+HoP2Ss/xUWYo6YZKD6aKNwBUgcZywGlYiqm4Z
K004YQYzRyT4Bps6uaytIZ+DUs887Cc52NPlE/GDVR3V2k0NPtP9uu0w9cCnmDUGCbwkzS47bH0t
sqBwlN0WS0uBF1WRtnDjAkmH5AbEVGxRuajpzskQRjNcDeva9ud13pwj0S4QBwOlyBeKqFkFZj+O
UAOWcxG7VUPWWoCT1/qDI0wHD+Qi64flQMEZqAO/ciTXbpOGn+06ybwkKZYpxGO6PPqcCMPTOrst
KvNcGrULUgR0EU1vG4C0Ti2IH3RhlS20gey5zYozRNPvmZKJC1GgC7MRF2AZZq6V+Bk7swmublFn
Fv63qEoCPFMkD7JbY9B9sUhR1juBGZt/9UMkcoc18QOmZN7JqgVxXT8IJedwaFzgtjbcDut2XVpI
uZHqhJM23VL38srKfHtmtF0/L7V8ag1WOZHd3zNTfNZDd4sa9A3iB2dmPtyHTSRcRhWZ8cB6DHF3
1ppB/y2RZQzubQEeO8lcuwFvkZrlMqLVLajNJa9s4wL82M99CK9VJHXpBIF97XcqdG05PFmUerXU
sUNjJmaa9eZy4E8oyi0wAvWXRoMFkBYW9hKwSONAkAU1QnAwwVUvEPUqiJW5Ri4fgrgc3KTuh7nd
RoUb9cECG+o+bPNlDsvGzeysc8AidwquhpkOssJBoO261vJduzJuet/4q9LmGSsI8iIc/Ul9GYA9
j7mj/N6B1eyB/lomPOYu0/lZRlXrSPA26tKmjmTxk5L6ukitVaP8C5YMkRP30RVEes4LIhuH5eI8
A9fIwYQ0bgSmSSVD6US6aRdlB2pPS4IcLKCAO7bvB57P0oSemiq4JzEp7gaDSceQNgQFMP2TG/Ku
w4ZjivavUlrhaSHF6dCV535gF+d+rv5inb+AYNqdwdipJPa1IdStNNm6sIarNK2WcQ5zc2D94BUo
qz2ILHxqmnwRgzEW1OGiiqSYxZ3IHFg97Jtq1KnEUf3JtxsJwYBknnbtOdMqnh1EAf5vU22bBmy/
Um1/JKCoH3d02wvZK91mbXp72eCt2nBuJ4TdXuk2UFHQUpkQbBKE4dZP3QYZRai8h13sFug4yDLA
rZ+pAqjkhXOooOgDOjqKZ434Dt0GluyOboNcBIPSXw7eNHThH0VN7S4oRW3L+joCaXBmJ8K6rLLu
3M6S0qV19YWlqVdGOl5mOU+GtcxVadzWfQ/hiwFkAeqSWyGLzNFxf6sD6yxXaT4vExU6aOgh5B0j
YxEmjeVYhZwHcSNPIa5iukHhWw5YvoF0RVNm85SDkLnrg+JeyD53DGjj4XBwbiO3wMo6azpjOKNF
1knf7e0+PKuT2Ouxbyy1UT0FIhsg2m76ix7lEPdDsThN6qD5UkDm/RyHLL60SQZhrfCuqIksZnba
m/MC2aHXVIbp8UZkXk4GAjohxA5mAixhJM5jXulZGSCXaqzntCuubApCoSG5mDfJ0DmGr0EZyaxd
Vq26QkoJV2flfdUGFz1qZ9LsPazwpWkF5+2gpaOjonZCsPJBXNtuW6t6loHN4wS+oWfwY8GT3+bs
G2iGxp+XtJQOhPsgEiMVWoqq/iRjcmdHZlafFkwa+jZEWbmEgJ2blZItS9qr7I5pU4Cmq33eOIT7
1oKgtokc6tOn2K/b081pHos6i2NvSLObPlJXYKicZYm8Kk18bmtjnqv2zEiZlw9gRZeZY0aDS8Pi
sc3wp1CL+/8vPJ7tYgsyBG/bxVv11bvm8Yb4pwiBrLKJYQ8tAeuTbzz+VyIEtm1wWLYgIWB71uts
I6EnCEG1PyQcBaRfTAsW/k8RQk4shiFHDUWg4NzDsO8xj3eTZXBWGuwdsDi0DBfQkXLbOCYSGa3u
U+tKpt8GddV1L/MDHKX95reFxpkVeAnIqoARBAUUAtqsjURU7StL+7SrryDYOcO4eOoL6yrxo0+0
0k/gxntVVIVeapHSQ0Z2irlYgrc/q3lROMxg+SJvySLj1dJQ5ueolnNLFY9GArFyLC5qWnWu0jFE
OmRyDZYTjS9Io0tyDa5sDq5r2IC5holLZZn2c5L3g3Jak552UvlPLTUvCQEf1+t1yD3LCpPHEkOk
J4Z42sxS2HYqMzD+ihIj9URsPdSyS+ca8cC1Ysj5gUGbOwGyr3nBjVliV3+JKiAzSNOAyWNZ7U3U
tcghONdzVJHIgWDReVOF32KML6CHuydE2l+0QVMukyxfZpkevAoyDz5NFmA8X9oyIM4wZN8Ms6UO
srqnNDaudQeGpUqHYV5bthcU+o5HqWOYxSkpxbfYNCCqXp/pwsxBA/S3XWyfRUOXOcFQeUjHZyXn
Kx81raN5tAzAcq7jcKUhluxAxtaBnM4yCaJrA1JCNGs96eN7iJeeiZov05JeWFkJBiBuLhMyeCwl
s6ool6wvuZNb4ksUDno5xMlN5eexowZ5rkPzviixdnsjOrMM67NOULyx7WOHDNYdODa5K1UnZ7Ud
nvZJGTo0ohSSNmxhlqFychZ/qy0xa83KBSw2hpBu5pCqO+uGyhVW89XKidtKesUUu1d6uI5D65NM
/cyBRNiCW80lBOZO8749Dbroq2z6wElFu0ya9kLi5I6hPAXBnnzFmfqCfP6V+fU8r8ANGCgkNapv
zNKFU2mxMIi6z+HlIWvQLYx+eIwTPuu5dCufeiTuLoo2sh2I7haO1WcwqK0gRct9J2D8G6yCeRRG
94HvR06ndDQ36hqmTfnU59HS1tHMIsW3ujLvDcO8Uxx0TOxHXtMJ16TJ9yH2b+MUDY7sg4sYEuwL
FBSxYxn8s4TYd1nU0g3CIHLMNP0uEARRjEI2M3vg9NLuVHYWhmzwjAI1HmV3kbD+qiGrOzcgnuWA
7wWrJ2rvTBSdG3VhOxAuLD1adpVjIPqps8GXrPs6OW/A8XEg1almIikaB1uhP2sVuwo0ZrOQsi8m
swNPlL79HWL64MsiynOnKVgN67tqfOWmvQF2fRQ24VVXheyiLJjpCfgUDokLcNkM0GtRkkvPkryC
VJxhzvRgKQeS3vGn3GZYQ9QajHtGIVwKqWFdVudad9cFJKlPIQ9uQeYkixyES7Wkth3NgrC+YCho
HBUX2QINdOFDsmA2dBg5tZUUkEIoc+ykYXLNEzOJ3cRQt0MDb+z7xQMd+i+VT1Y8Bj1N0GUkUeoK
ZBhenxgXfowhOpAgCsEC2oETm6d3Oa0NWKrcT77WcfapbarWxZhdWxDgBcniVpHlEY5qD2K557zk
IBARMM3b26wmgVvwApzo/iwo/SUE5mdRAxbUoC+SyFhIKi/NxPwaV41LavOsFX6yyLr4mxX51FGh
BpfTZxD3NzvHt0L+vWgN7A4Qk4CwGWQDP8cobedNSBaE56ELUTrblfYQz4YwrC4HO74iuFjG4LOg
kik3Ucrp0jpzhpZ6IPJOMfLrWUBYdZr0zZ/MKD6nOAXv2qkTT1W1nPWtTgXInBp8VJZ/yyxtgPw1
nkolzf/L3pct141jW/5K/wArCM58bHA489HRLOuFIdsywAEER5Dg19/FzMosWXZJUXH7pSPqIR3p
sGVOIPbea2Ksx66iOJwTd43nXEm76nSkS19tVcHVpnaE3mDr549ZiyNYY3VXCzuPIc0M96Puin1V
sHMduh4QUzvYjZA+UEf6d24LUp46hQNI3+rbWDtZlgJIv/MyfRfU7vIEpjfHkCr71B0Zof40p4MO
jE1jqnojdSujCj9IO+WOT11eBemMDhVjbQ7ODtDBsHVUjUc8NakdCOCQQn7xVLOrpzydfZ2Mvbwy
tb8vW31v8iJROQgI2fD7sbKAVLThAUio2kmj6GKZVTpqRpDSjWl+AZVvx/bstE+j15C4kWIBnoyF
7udjg+bUfrLmcLjNLHdOg9EIo2I09Z+z378tz5hE3mBjwTqkQG6BViNESgQ+bf5ONmAJgZQIVtQg
P4sYfOsOnM/11PWfySt+f5z1Mwa+jc/C/dIEQGMAsIbXZ1FVp96z7rErXQIhnrFddiDKQzwAXW3V
3KRVUG57ix+5smhg1QfsVEc362kRltc8G28AZCU2B6MSDuCXs1c5egqMqEudJTh7JsPE93df9xv8
8LdnjtBBZNc4UGaY79BDV4wSXXMJCYFglOk7swDnKo8fH2T9VMPPzwFJSMi+s/ChNNwjLPSf27B+
LBstSqiswLL2mJ+cnS2xMZhZi7qhlJtkhnqC/kde1yHWYGjupmByqNQNNirbvF4KkXJjGa9Hboe3
NaoSALezYZIKb8mEUm6BhnElO+cAcubMxT238N54YqqoDt3lxiXVSzlUEalYvlmmlmY98RJe5WVS
DvY3o7MwQUFggF3JoxoxyJFs7Q3Ig5KiFKG14d6uXazX3PFfZkx/o2vmdPark14wyfjQL21NMhUn
kzeCLvPI0TcNeczDwo9Jzh6ykYi7FqRCHBJ2dEXjQmfQDFsPg5iSKHGksamGCC5pTOvKNf06npd5
ZcqrY2a+jE46uv4O++KXwKgE3nKy1YXzpVqZ67qpF9oAZbMxLS4OWg8MomXss1HGsyG23SBc0Ejz
fjTVS5lb/Juu3I3ptSL2K36y5FJRu2/T3O5DOlrzjfC86hyOBGjWMh9av/+Tkvi3byX57XrACxms
yDniadf8lreYdWaDwsafDWefWC922It4aVR19oy2p9hPn1nvlhQIZkS8OQ7yqoNCsDrhriwgP0t/
a7H+NIBgnhbr5MrgyXZqnvbCbdNxNJ2dcK2RsrwUQKNVkJjSEVvAYE08gQOOAc2hH8FGZApZR7nb
3jKRzxHhvUQ1GHs6NC2tmzaFEASkifcSQmYZKSKh1xHWvWdp9M6axfZAYg+IA6BYo6Td5D0Vgbeb
Muu7588lbSZsA0ArvXq+y8Li6ANVbKV967kaK6Sho7ZuXaVOZcFv29y9EX648fTwFJQlRE21NBOv
HdELtirpx0mtFB0g6MKIzcxC5fCMFwNrImpC+wuxjSfCVRu3UFeChDNTtRgAAGaZEKfbmGaxC2uV
WBIKFK5ipwTGEQTTwe8K3BLVo8wDdKyGO0Dd5zCYd73UL/ZkfmtthL34XuJqnOdYx6UqrySfj37t
pZN0Yu4DA8lrP7LC/LpsjHIHTVACajvxqgwYKxoa6THMJXgZlRFeA135kftGRn1tRs5YpMMwlpHX
g5FlQ4SYJghI7E1ut3hKhInEYUs0rR1qOfKjQbKkJNOjlANlRn5xuUMZl6lVGgeBKs4ntg1I9UU1
fdpCAgFK1oHuB1WzyqZ0QHmvO9HEo9EWcVUam2IKDktRUj8E3zkRNkW9iU13sUhakIC6U3DJArJl
9XBgU3usAxdd71BB49GAG9CVv3fYdGisAliUhOzJbnIClVSx5VBqGD2mhMqDmg9qlNGvo2y6eG7i
lxP6mLOYU0+n0tkCB3lsTIMGwjx5btclc+YcCw7SVWVZdhgt5Ue9S0jkF1m9mRSwVfQNW6mHHpSh
v+0UuhBfDlCMZSpRWUc+KW2/27nfvKn2Ov6+UUhaPNRF2JSQaaDuq/4k6hnKWEGz6arsTgQTy8el
4mfEDxUbleLt8d6N0xbnNaYL7AxSvhLo9Oablb5gT5Oz/fhAqwz6l5qEb/CC1QNojU8QrZXxzZVN
/aDawlTzeSGagded+yjPrDu3ZxA7SANrblaHpslNKolJTsGKyXuFNDBMLGYy4d+NemL8gNL6eq7t
AMDb+GDk8kqa/m2F9g1TTzT01u3MwJrVA0vFkD/XhfNo8Kq5YWOpEpdD/CPc8eAWJkVjkWhiThFa
vE092P4jFMC3zVLFQFL2oz3scts6LEzvXKjaICQ5dCjbINwPpQVyZzRWLD8Cg/Eomi7Jq2w3NYQW
1RzQwRUvi6ndCKrCL+0cdo/WytdZvc0+uas/4y1/Pr63N9X7+aaCVqzzLgvmczA/8+WrDj7TWH7y
0N4VDtOo0COzUp/z4LYpQtra958si48P8F4PLjxRmqXF9Nm1LrlDKG6TyXX08UHWu/AvNe5fdwkf
yUFLiswq793Sm/0e6i8HVwE+0Bq+DZNAT3Kfz/4nT2ONR3lzIBdaexcwPRyaAL/Qmv4hq32zxnWR
1xNbGrBclHxDUYvvqjSLjQTqy+iR1vRx50Xq+PUmj/jDnLxUif6KN7rf2ruPL3i1Er05kV9e6z9O
9M2JhCoPm5BhGxlSFZuRmcy340Zc8zRMwqjqUrLBfU5J1FGT8iSMG5U45/rbx2fh/u4s3q7Od3Lv
KuvB+HW470/zzkp8OqThxadXYK15vHl0o6MXi0145um8rW/d7V0Ws828xb5Hlw28AH0M6CwOY5CP
W+h2rzjlM2Xxg6Tj2Yz0xt2FO3kA3H4v0tuPT93+7MV610EbVp9XMCFgXVJJm7R/bdLmjsRtVMRZ
zOM8AUuxl5vLt2My7twIA3uxL2i4L84sQvGBbpN+z6KHj8/qD6/Brwv57z3Ue1cdcrgHOt/DWfFd
SHm0bMUmu6tB20cQlHsUmrJI02oTnNut9QwgLfn4+Ot78uvh//UevdttsNUYum/0fDYXmfjTdFiM
8qxGU35SlNZd5aPjvNt1gjywlVoqfUZPDUfIN3PeTt5XbSetOQCKSj++qt8/6r+v6v0waQhs/m5b
jGful5j8bhp2/b87wLuZz56DyvMEBqjSPVgFcMDQjz8+wicP5r0Q3hBNUPsaL5pszr0o08Z6Wsbg
k6fy2X16t4v2pOoL5RfDeV6fylJF4VxE/7vreLfARrn0Y90LfZ7UHOXeGQLqaBGXjw/yyery3+1K
XsYMDXAO1WD2Iiesk7IarlYltq+hrJiss2L5J7fut88HX/vBB7xgGAxX+uVt7xOA+c2afBjPjvjR
FWlpc4B8m48v67eP580x3r00FQt7A0KC+ewWDvD7ayE+QRU+O8C7LXEpxWwXslVnE5s2wOjSrj65
Te9sJ78W6rWgvClbkDgHEA9hHWM2oG3E9mpbnjAiRPsu4gm7Gqk4fHzXVjnZh3vNetVvDkmA/5HB
4qhRTwCGa+yqJ4Zj0+kFRoydopclggK3pm4iIkKDa4PeDMla1S9f2ou9x9QOBUiiB7qtI7757PR+
W8ihFfi7dXm/cvJuMkmGl45crYXcoD28K7uaRLTcOPFjTfcm1Ycf5lcMZ929Pkx0+mT3WlV1H96h
d89dGb3H21Cjl4hVvMR6ASdOw0MV34Rn72hvxviLlWa0BmKbdptmE0TGJzv0Z6fgv6t7xjwaTj01
w9k4SApN3EKL725KYv8wvs7bJhFHf2NsjB9Q2kTzprxicfH6yTpZD/FBTfLfrZNS2QLyNCzNLp3T
lhKar13drozu1G7e7fK1aTkPgj6aqYxF2mz8y0jhiEmgcaD8ufpkp/xDivHL+fzrdXff3ZLACMEN
wfp8bhNn40HOF8/pki5HSPXpN7bL0jIKdpDUUXmcI/8+CdAd1MmwKdPbPF6bhH82B/+vha//v+l+
IGlFFfob4v1F0hq/Vv/nDE8v1tMvWlj84F+0PT7R6EIyakLo/qf45w1t76x5qpDqA7FF4p6DEfyN
Sdg0oXj9I057Jef/pu3xBTnYFJDhZ3me7foOXpn/QPnzc31CpCcSJzC1QJsE0Y/jrIGQbzdBYDVF
Xy21danlvDXL/OizMrLVZ/QAUiZ/fovg6IAZ0zFDMASAp38B7uEMK92Al9PFdaHcG2BEcBJ3Gfci
B8koLVbCFeMbIJblFXacY1s2974FnLjphzma4K9Kyo6UYL3dMIbwBiZJUO3UcBu4NKbuaeqbJhIB
h+TFbjIwwdVtgwNGVlNdpJlDCufXULS3FvAu+Aki2xcOFUtwaMUchQVI4RrS/Rgz79a2yzrNPJXC
UT3E4xKSuC9nSA8BKAT+KXTGkOIyn7hTyUjN7i2cijeGmM+G4Z5BUytY+/KCwle8g9PgPGWCJSIk
95D3VdRkSsXWKh4c1XANw0IK2/NjGHSvFvOfmdBfukWAswWQFcMAeHG77OBBjJ9i+Nx6YdZtekDl
kd1198D7tnngsKji/IDW42s98TJVwmzggdOgquTcxMbIJK0cWadkWJ6JECpanOLKCbo0ADiNntqO
25Ua98l917OTBFUHGEbf+O24QR74Fg4Igw4KLrLJsXMKab4Tccu9NXRTRWIA9+eHz+EgEtOe47Hl
MI+PTkmxtGOUNqCmfbEp/fFHoEEfmp57MtQIaWQt6riFwJj4+mxNsLJozIYTJ3lakuoC50iR2va0
WYRzYixjdCDOJlS4t3wqoaX0XBU3UCnUsF6EGpRuvejYXvqH3CNLxOAioPZQ3fbTuIOSQ8WdbX5D
4wfiZdIPVZ678PgtV9Zce7TnhYLhoftOKuu7NVUQDs9kK6twh6hkAhXxtBGley1gCZ1hVz/69lJH
XlV/W4rmifuAzoUn76DfLWKn9cvtNNob3wdba2dpUDvwM2CJcTo7E4eZgrcvdSFZly6BMejI9UCO
E3MuIS/RVgcHDTwxdWz6U0qCCeK5tpv3VeX21NIkMjOy6xz7+2SGu9wlwJ5lN8N13qiH0rXzEldH
TNAz+SrLnUkel4W1sxtnS1R5HkyW6KB9gQr9hpTGK77yXtIWLK3EarzTlroDfjbAUzTFcirJzhCu
SOpJHYMOom4DLK6bl3WkepWvqrrpi1f4fTKz5sRyM4v6ZobyfTUQ9cemKGM19NtpGlbWFEKFsIhU
YcJnJU+lh1fWrssLtLCHyjB2S4UOhjPOwaZrAZYq/+5NcL0WU2HDMkJu4OjbzHJ4LaFPj9AQ0Npr
nqYuEXf+jjsdrF3GFhDty1yYz4ury8ivYOfR1XPl3Kqp32owyY1ktDKgj667yEpNE4SRM1AOEH+y
na2y7LQjHDprsCOgtYshNUmJ+6kc0M8E9jo5xZnRddSZms1I6istpy+dLODQ0s4DcgmCU2PAQXoH
33PEAqfLttIS0P68KTCXP4v8Tx6Ed70IdtGVx4eA24XUyyRwNPy0Xfd9bzuZ9vRl0pFPnU22n2/l
aVdgOH6pH5uk3NlRRrMDNNRjXGw+Q5fWKexN6/Hn4UN8bxg8puV671uPLhtdZXjjclH+S5PtQgzl
4fxsQPny8XX+7jgImTdBSq0JGua73jccULNyGLkuJD8iRIFW1WvIditj9PFxfq5+2INwO3E/UQMB
LENa925yaluncUfCTRAGh867amyJ9fv48TFWyd4vN+3txbw7yMhNs7fK9aal/QOPykRtze9BHCCM
4ySwxuhNl3RUpNb2/hzEFT2rU54+9EmWXBf7iW67uDsOMf5iLFP8lzx8fH7WejPfP9RV84u0SHwR
DzkmP6+pCmZ0mBFMcnEpO2fXZmKeyCPbw79tRCMaxv0Xspmjc5tOW7Bz4gD+5brB+U70n63tfxtJ
E2vi3zeS/7dq8vp3XSR+6q8uEuJPgH+2B90AvkEKnfibLtLEZylBjLooR2ugDPaEv/TjMEDBuotP
ltoQKSEHBk3ZX+LP4B/2KhJY1Rr/7D3/gy4SUPpPiwj4d2BBbIATxLvkIFhkbf/eDNOs86eisIPq
yiDtF5bDVbSM1Vei3V1FRE0Lb4mg7Ul8MHum8tPFZsdQt+cpgBgim0S7E3kLBRAzos4frZS5ZmqC
wp1yZSWBL8dIMX00hyz2DAnrNcwleWA1UUWqI3fbKlIG7B1l/yI8cPkjcb6Duu2jxhAsYu58mAP1
HQapNgpKiLGhxE88raCv0vWSmKNRwYrizvCIwLHkj+EYOdr0okHWOq2lvlgaBdVi1WGcXYgH2PBk
I2oihmv0uzS9PRrfJm5nmFKY6ksqmE1djmSO2g8v6B4fVbYwKL1Rnzk38Nb4A37rFXm0sAaSMcHA
0mY7mw2p9mVG21VoZU3zw8LZafDrQ5M1B45rgkojx0ZhWTdTjgLLQNuWtXXKiHWX6Qp4P4LPKLRA
yJnpFaIsSpioHMfeChvdYBY0j4HbGZFnajayyFVtzm4Hq2ieYZZ+0IszHaA0xB44AGggkHMUbfc8
Mzhi63IjmsmjzuhKFEDo8kc7syjPghNn1oPd9jYd8+kKahMvKbHTxZa7sGQJoVVjXYjxXI43tsG/
u1UmN+DTIgK79QF8/zC/wJOeOo330mtbbqBb3MBHyCAGnYR8CAmvbwHYNeVrzpbv08xvFtuERH5s
QLCXHQ+Cl44U5wyz1c4canM7D5a8srosvHJE1u91mAHnAx09+d526DR0jdwEBeOE+mwXC3yguRTT
BpEWjxM0qn4u+Mme5StsrtbWlGxVE3kwOv1Zdv67z63j4wf7nHj5LrvfTMv4qb/2OXx7FZuZY7kB
BtvAJegM/vbJILIY+ncPW807m0zwD3xQ20S+4hqSCZIZm9O/tjmLoE9HGhDU8Z6PL3L/B9sc9tn3
2xzyhEIM38Bz0S3gU2U/b3OycZfS1Vl/ZVb2XSn7W6t3D4CHrssZ2qVJOXzPTMSyEGdbaF3Eoiyz
NFPeFA3zmFGzbVooMibINrVxYzrLEvHGJxTKCwwiC7kezBZa3xD/Vu1LnlRFQ3Yh6yza8Oq289FK
L7UMKJHzyWjBvogadrkJOtPImN0s9iHFTioFc1k3TO0ZU9adDwvNyVdLfSysP0QiFjx8GV4xq/I3
Tg+LS6DkFHmcM7p09R2vA/hfwCtQs+t3LeRTWTCwpC+R5uA74hWZPw/ISzFWK9tW2satsZQgb9v+
tCwwhy8u+4o8tIK20IxHnZwgBdkV5EiY/V3xl86OhpBtpcxYPKkR+UfLWOCOlFVcV3MZW0vfJI0u
XqYF2/w8dN/HYdqToZng5MQFQfy767vgog0IXHWdGMtxHMh+doJnt/B20gQCHmrMnpApHjvWXXIx
z9RRa7M1k6vSg3iUmWNCAtD/YP4hQWKs3/mdY8IpKG4sNjnXocG/zVZ93dcBQhAqG+5OwklqrQLf
3lckhXZ1TJpMAg4uIezJSojzOzM4Wjnf6TF3qNvxuAjqm7nsseUsI0laG7FNQQ/DlBciT8dDiELC
2kHdssFEy07CR2bIgsq82bRmse9L/84JlxdisHojdEkHbHuF4mEsLQ7FE9RoMAY028lUVuQN7d4m
uJalazehLYqozEhtXhpnqG8xk+HAXY9yIK8Wp/uWQ8a3s5RxwQJ/CWUuaVdABc9L8tS16tQhByY2
AgfBZpP9Ok/jq/K1ToHCNBCMBdkW0SxfBV5RKnEqUQlXVZpP460LpdhBBOZeFcWXZgkPS4tJ3JUc
tgvj2GoNp68ZmOnAMkJlmU206/vzUCx4fdQdZ9nXlvvBtrYRhlMY4jZbQJXM1vjY2v6ubAcojly5
h2upQhn0RBr09c5j7n3HTb5XAwb5slhu8W9Ox1a5CnOslHCKegB21hwU1SHQhoTrw5ttHZle5sUk
cx57WXSRWiAc7/u63vfWCNWN4fsQyOctrfpqiJa5l0/MzNi25ry7FJ4b0gkmk7nWBHpa8RBY8Iuy
AWS2KgjtLZnjATV1klXFiBiMMsfbPli7PpecysLjsD2MO3MJzF0b8J1PIL/2cC609Wx4Vde3NEB8
Ql8MC5VtvXUGGHINLy7kMiCmCGKXpjII3jRniBCTAgAAIvc4ZH08OARBN/gfw3EvBQup7NU9mYuD
2417aYP3crpb5auRLr3YcCOD9E/AJF2X5Kzm8T6Xbk0rzS/CGa9LmMGDcj7BIfLUZ7C8lojpo0IW
D4iy2juzudV9fzcEnknbEUy0KaUNT/h8LPs28c1OpkIHwC26+ZR19nVZ6yqBiyXxrWZvjdCD636E
gTh7zhm5Ql7YGfFml7bw0aOp/msGpw8dy+Wp4ugunDYIEmS5PPfCR8aDzuChs5o7yZ3DbDQyURVW
DfLsdPlgj4W7zR2vtjfw8FsJl0hicnMZ/1G5/lvCV13yvy/hyFP6Ld6NH/q7gqNMw5WKGERzzaT3
3lZwC3+EwgnlmY9chlWM+hfebf4DxRuf7A7/LNOrfvyvEr6Gqbo+JhsXEhsCIPM/KuHI0Hw77mJS
WYMIPURsInTbcRDS93MJV83cI9iK21f97Jh4udVu0g4sY4Vto9lrU2lD0toN+tGHuSjumfOts4Pj
gLUVu2t2TQHh4Gbo4EiapElrs0bqg9nRYGnGeO4V/CgIYwDsJ6HMGL/qsP7CcyBvoropnWJT62EP
bOWmbVDji1aPNGysHjZT61gDZoTc0r/vyxBeglDAATVl94ssHl1EZmG/XebIm8WVy+wrMnlJ2Mq9
X7W70l3s3QJJYgQ3QxApPm8Qr5lYQfMDbtubcWLuHgL3DTJNvga5pmG/PMzw59LSEhZcZQC6PAd4
7AqcmzNmLb/hDxMZn6HLA9hb8q01ypo2Paw0gtsd4OABct7GPpei3VelY9Op6360ihM6GxI7ZhVc
5aJDZ8Laq8JVzX4WA6JgclR9X8DQVfIOsRImy869J1csblw82jrLj8ACUqkc/9uS4+Y2meDXFoJm
KO+7Vw5H66mQ1c4NDWwCVqM3vO6Dqz6fRQLEFU9tBJLYsYFFYKwnhE/VEMMWxNvkClOhB2fG1pl9
dm0ym2yWpmC0ZXmFJsoGIjnBgpcLmyWmrgqQAHOVGHluQZq+BkYuUAp7M+KJsM1tRZaRmMwaw4rT
56mDiIfUmewq6cRgbQYJJWptF0e4cg/LUFyVNdkNmi1xLoIf2VJ4tAD7kBh9bsPOoosEdjG9KUdW
JWbB4e9xiIYNuA03Q+FhVIRcfhNavcJk2SEBEvFaNxhogs3YuDxBDHGxNc0si5WqbNrbtnFdgfAB
uYErbWfPo7lnemnAjAHBClNAtWRNYiC0Cyk8Zb53UTI3zFoh4P4CUXedcCPQVA7NV7l6d3LuISiu
DZ19E2IrZmQNOl3WW5Rb9fPUu8V9DfoeOHpYA2pFqqs1r5xDVpMrMD5I4WoWxIfgvlO7M8ZtMGHs
4pODJtgf8++lyH1Yi/0sUUxA2w9H2+hWSZbVqLLIKoLJrgaY79iCoikZqQExMaw/ooo8VXjXC5mv
ixlmjkmUSY8QEPAeVnVGxuGwhXvnx1AvXweieDo0ZKRVWHWnHJFGkT17cdW13s7TExIfDF9tgqx2
bixjfMhDOUD8PYyIYeDWTMD4js23CWflQ/YEXXxRIbWEtxuoxO5geyVI7WBeZKpwXyMYJZkmTWio
RsDkvQZvhC4f+XJJXtfG3nAQ12Lb9wrlPYLt/U60xd4v6svk95Fh+Kfefc586zBKTz2hLX6dvOE4
OwZAb0y6cTCN03Hs/XobhkOBUJYV9C/No4Wj8YYflHJ+tIh/i8gCFT8EBFSF/sMCHoLmxQJ9ai++
9z4iPZH4t5OFvkZKMryvOeImubLjWgSIkcgJIs4Ud+NZy5mqHN1Qh79e9wBc/N52U63xCEkrrkaD
3VZz9mzK8UvjYHsIzEbFftkd8om8zKXnYXCAHU31kqVkJLDe24g8dbpEFdCR+AsR6LHUCRkwjyPg
5tg3nEs4+wGVwq93gevibw5mgU6gUlEzyMNYmFskRYGHcLK0MGV7lYcDnIBIA4QKP4yHuXvtM2jw
XJXHGbe8L3C7CzeR9XyqoQCVjg9/n/uEgCh3lwvIdrvlK2ItEd4IAhQXXaXcQuAkPJJx5flnXmCX
CaFFtmDAK0MDNkRJtkbrbTW8jYUFos/IV9OdOML9hU4+r74OQbj1a/sMP8vGcNoNgwEMzzSaK4Lf
uy88yPOoz8cffe5fkAI7wJiid8MaLzOu0UFOeY2gPQO1YLXJ6AMfqmsBfy0BT1MhqYZ79dZfo2tG
ZNhU8Osh5ayjddb7VCDnBlL6Y15FgdnPCHK2Iky5r9mIuBnUMUNv+sDqA8xFZRUxr74xc2jh/9sb
mX9EXAF1/fe9ERLDX9Rr99L/BuHAD/7dHwHhWD/Tg+AO28Qv6E/+RjjMf+DTqgAxQuIBzFhB1H8h
ua6JHzI9ALz2z0iu/w8AwsA3gAuvSeMQLfwnEMc7WdSK5CIuK0RJQPSIBZPA2j+9QXJrFqCQqABm
RLNiW8RNbTgDkNjZ02H0lUZchdUf59GSG9tc0GTP4wVae5TIWnztHEvGvdFvMUS4SWjDmskmz6aF
w9sIxRnqHWOyYj4E8FK0q5N4msWlZeEjd+HCVp0NFY+5HBANeexcZxvIECXX4JtWN49ZwGQEs+lp
6TQwQFmqLZw0eyYK8OWOu1+CXFDm+CfPcu6Zi4iNIQ+uw8kv47rLAa10L/j4PFKOXPaghAsnCpKa
kU3qq6hUy8mr/cc5Q4Qlse2nsJKPHlwJYUmOk1/dGa44DQiqipBWeF93GTYbgtTZDM6exbmp6yIl
zPhiwdzEWpYCxYFloWuOjS+frMA721wUlLvzBnKBmmJRvAwVZqN6rsBl+0MCUzWnyFCpYrubYYvL
Wp0EQT0mSikND7u46pCgBZeivZXcgh9uGs9ThTmOLRPZuOWQFl4LtAEuX7ckdWRYy8XOvG/W0NyV
o04RuSeozerL7Hip5mKXI8GSZn5/8Ub/nrcZbBmOfvJyIM/55DYxunhYmOtcpnaue+SX+Wh5l+tu
rv2U8Go/k+qVr0KFYIBPi3fQk1dWFiEn6apQvoVYBn87B+y2PTt85wHiQdrxwdNFEeHLCmnuKwDJ
LdIJh6VIBntQm24MnriHbmdsa4tWMt+ANqhpKeS30vdkXAwAb62WwNWJ7MGVyh70NtdINBGi+Np1
9ivckK/oyNmWtc55zW2cFbxJ2lQiKXTlPNhuiYhaHaDsZHkk63YvXG9XuQRhqDztAgZ8ADm5iZ5n
eAWYpzfBHzBz7Y5DMinjOm+m7+FSTl0ES2IRmQBblhaech/wi2O0VgQ2cRt665BvwZwP212AJIhg
a60YDoj6FyS43uWmjCGmSEwYwwDgo3oA+pG2siO+okFo/dokD9mcQDOBcB2kFKKUAz8aKswLtlvd
hApJ9FZmU+SM7+rQO2aqJ1SsOBTiFvBe+NWYBMANU3vFq/6HvfPYjuRYtuyv9A84V2gxzYyUUAkt
JrEAFBBaS4+vf9tRt3ir+Ej2YveUIw6KQALIDHezY8f2cXjSt0JpWBooyDOJrBUib5lK5+oRvDyl
fM1weQ811LdV3E+M/RZkCwuhJdKWq6riSUmVigYx5xQiq8UF4/NaKW0OklteOi89ElxXXSeWBeEA
dc7zivAwO9XlHObg5VDwfKP6ZnU5EhLaXmEVNftZXRaIWWRBrSTAyVbCZ8PaZryIHQpNurwYSjNs
z9OULblpk1SNhILHx2AswlepxEZDNhehkh9LdMgZn0Opx4JaNX4QUfaRDTwyRlnx2VZLoD4zJiVr
+th14Fnmd/C9P32lfUYznztTyaFVGW0ssObYYtBaxqgpz4Ux2xc6QqpIiuZyHuHlQrRON66/hGyO
orwOYVitoxY1Np7Gi7HNPFRClNrcT27jlk+zbUX4NvI0ZheSdxyKLhZauVxXYe2AR4Ic1hUjZlMk
YbNpByp8Hqx4acKVUMoxjJ5wO8o+Daqmt/Yx75fSmTOg0wximmuIJ2c5UrQWahA/UDp0YzyGSvsw
l2VOVl3VtulVPevtU+YDPts4Xemk625Iz4ZhBOrT43A0EPFCLDlp0j17fhRb3y3E/+olGp6Cv6kJ
6DO+Imi6/vVPygK+9veygAg3lcLK3c8WPSCun8oC4zegPlj9/quN/Lcs0JXK4ttMX4kbUQaGH7KJ
+xs6h41Fy/k+Ffln8EslA/3kElCyCQwhJploJ8g0X2XLz2WBX7gLm632eJWPLDaH67aptGM+69ax
RKFI16lT3Ms04nSdxblX8oyldgGLMnWCuBTwLfoUg1F/lnnz7ajN5zJkSFDHDovQkwfZN1mOftI/
TKwAuIV5sBOHRzKsVo2aSc4zaL/BWc8MipOFM6WgMQXH6XOH+fOOsuET+gDgii9OVZIBR2CFb9Nm
ogEjyUp3mnpQGanrwSo+Swf9sMstuaF1KAKtre8sBwWYzT6D+xNzYL2wZTT1KytqxnVbho85JkDg
JEw0ui6wk+nNGbJVGrLYjffzHdUyWY9O8uQ0mFWIFDmYswdbkM4WBPmTE1k7z60XNlPNbcxSNEvg
rEk7ox2MlbfvZthq0qIFQaZ4k1X4VkAi0SqsdNzsz4nmJ+vCynZZNh/op3HyzROekJFexIvqb5Fm
0anp5VNd2VwRqo0Lh/7DCY3lssvka1LbrLfaCTvVtlFgtHI2ovT0GwM5J7Ag6LOYjbpbAZbcTVN2
ptvNyBFALUZL1PZb5WhaLDfh8HKrbS5NbZ0DeNh4MSdR5C9Mg0HeXEjNm4MMoOPWY4gRhLmQ656B
HDJ/FqOkQPmXGpyXUuuSM25BdpX8qb817HF5YIAVB5WmeEldrl0g7+MQmLLsuWqRmuk/nSfuzOKm
a/XmFDtGcvD0dj5v/JCTXObVEXJ1izRgWel5OJW1ArfP50O75MZqKbTwbfYS4QUEKDSH0tCus8rX
N3E81fea5A+/Cz3DeRGpH31aHrdnoVhswKyGTQaeTRZMzDpFbBsVu61r8VkDc+uhL84wBRogbx2w
N62D+iaa4bJVHLhQEeFcdl45oaHEuYoXZwGOsxRBrik0wj0UUw64HMT/aJUp3lypyHOOYtAtVqYH
leLSuYpQVw0KVmckt+53eh0cu0oR7VCMxgef3ICDA313FSvynfBg4HXA8GZFxQMrHygKyffd0H8P
c2U0++vDfJP/n6BqmWH/yUnOF/44ybHqgGVkSmxaOFx/Pcl1gjwNlkXx3jBCVoPqHyc5cDeHyBoQ
bl8sNtWW/TjJvd8wqlkc5kwl6Q3+WYPHKP2PJ7nH98FBqFkMBblYeKWfT/ImCmdbwCK4Ak3+MKkh
1sg0S2ATWrlp156INGHUhan1ybbqfu3beQPiS7hMpRCgOzGWR3ajB9hmeCk1ZmhUci7wNY9TF2LZ
drHQegs1dMO83K57a6g2TeiP60YN51KmdIQ2cLrPXsyp7t77TPJwf5ZbZ2E66zLlw7gX7Vvmfn0y
P4YT8NQxrW/bKmZ6KhJ/r2vRe8nUcDa1M4TMy0pjPRSyr87MOtW30tZJNWHqmE/JTqoxZMU8kibg
OeyNY+/UHaEQw602Rvk2agjcGCaGWKi7bw43xh4OFGUsARRbv5o/nMr5cD0/DdA3h6BjQurP5lNp
VOWxHvJqBRfn1Rjj61iNVfkx3/2yuMpspDATooCInap6mAHabgxN32U6Bhgbtwty1TaqkHVCCtbF
Lj6cXN/MyhlT5fXOwivjttPNBApgz/HvrYrRJgFiWpYgTYSzGcR85caTuUrw3yT4cEZlyMGX9UWR
q2BqYNdJ8e1AJzuYTv9C5AHMdxNrz8B9uiizj6fJBy9HTT3NHWdY3c8LYhzWVf88FvXnMsTQ02iw
Nl06kBEyI/lZSz7vioQ2u0lS/1A3Mr42M+MeYYqRJ0Eme8OLV0uUmc+L5q4AtPj+cDc4eXTZ92V9
XLSiBWAvsn1tV5sp1W502gvMwB7tEn3mKtOSB9V/orGyxGgKal4zAvhQO/Uc2BX5PEJUpygNw5XT
wQh2tDvCbugeUowCAwsMuXO0hpI/Mfd6mM6PtZ18c83iPBTgJ0q9YbsLSMvKFcOrVXR0GZb5LIz8
BRs8brDI3UnfYus3TveGRvfqVl0wDwt8M7PEquBtZZkFM6SZMs/OndAlJEmwVSDlbbGUn1peeRty
aZwV5BHkyiwiI0yk7xBEnmwD2TSeb/K4P5ejuEPUeOmxtWLmZ7d+EGdQ0i41M7yfy/RMTgXvVmg8
RAVU5rgN7wjnOetT/kK1EVlbs8Zfnnn+ZWlYz6E73aMmLas8ylNm11jfCWN56yz/ZmpZSq7brREq
m4c7Xk26dWNKfpciTK7bTj+ArF2zg3aMMFgMDowNYb9Fsn9QawVRaTOKsa/iZNmbbQFqiol41skn
e/C8XRqJYpUl6IscczjfGkFxpfTikICZ9Zi0T21XHE0fnIlpHGJteRhKZhsjOKp1Y06HurVVbJSa
8oj8hlHIGzlE6KYZCJrF8XYqsWCDuOltwr7qNpScxRbk/36x0D/SukiJAanXc8cI3mDWo05cTim9
2mTWeKoA8KAW9Np2GOV1pGE+0MFaa/wJOJOuTelcpIP/bjuKr+g694ZjXZhWk8JDQ7ofZU05oo64
Nl7w2Wm3hl9uczdGgag78IbM3XzdzvcFbbue98gwRe+sHT5vwxLd6pr15hbIs5HhXUC6DXdRJMSW
PZsb3WV61kSZToCH+2aQDrPRyxyXnlNvpAlmp0gMC6ug3GbIw22/hLdpswB+afW7MhlBEQJyf69j
cemQRAH+hTMiSR6neLxq/Xhf2N7nglV906NMMXfRmIM1NQl0nS1gwHdL8VgwYIwuFrgLq94Zqw19
x5nttXe+mqm3arpOhtdLtSQ+itBowvNdnsKR6bo7dm9OL5r1MrQn+JaXMWN7k/H9zBhfV/N8s2yP
+WJsssjKN0NvXzO+vxh8Qnoc5QZIsQV42AM0QWXZKseAPaGjoUrcmZgJkpB2AnNBqlwGGc5Vfprl
yVcGhEY+FPZ0DRbxxOeBPwJWhQLLwmJTgfZqgjdq5Q5xcmDRoL8tMTroTnckU+rM0ub70qBNwBDh
YIyofaukauapVp4JN3dwTygfhe9QgCXKW1Fq+C84Y4Mpqfcl9otW+TBcDBlR6mCqVB4NW7k1sGzg
26jTw6KcHCIj/+XL26FcHkx5jQOzmSTwlQekUm6QTGvB/yuHSDSzzqM8I//K7t9ldyqUv67Ktgx0
yj8ryfiq30sy3M4OyjZ7cyxca2oL+2fNHSwNVZej8X8oeM2PkswlVB2WB7tcas3uq1r7UZLZgLkR
210b6q5aIPhHngRX+bB/ba5Vl+7jbHR1QCK2+Ye1jqxgYjv3oXsJWf8Y9c1YXvSTIYEaFWNdk9mU
DMvOmzrAl3ERzQ+Vr5jSlV8y8uvT+Hk2u1tCp2QQs6i6nvphR1sSsC/DmE4rDXqJ3FlVfvpGjkfC
g2onGynANZXkweDK6NlnEs8kHN3gQXichkrPrntMALfMh/f+NGNGDBlF8SRHWiIus7D0plUzNsy7
RfQs6z4+hWGcOKc4l+7JLj2WoizSF8yVg0JfBXZYaOWd4wpSpjinpk0362FPjF4XJw8DFzGpctn0
mBl+jOMiq/ZJnKaSK7i9ICLrOA32jR1ZkiFa+aAt+d1gMUas4vrdUJK/Ew90zFDIW0U/1c23WEUF
tcK6dAYDFX9+GOLEXpsUhGIUgSg4AiKldFs1tERPYt7rStfa6Fb8iLDqsc+VoT3at5k3XaUp4Z1S
JN8M370rButDs9Jk0xX8UWyvv3bBjfI8A96d+P4rA5jqizQj7skp2WsLu1SNWokrcu+uyXVjW5VZ
SaOngJapsY8xgpfj2AbFlBzMGLCvXWD0ICRqwSyXlRuIVySaafJo1sZ1aAzFGlccnaJl7KuMhTDD
g3Lly9k4yBF8qBi0b1rlB97QFUS82VC83G5XlP4r9K4zx3fPOpNMjcRjnGwu/i100XFN+Oh2DsU3
21+2uTYfcJtfRi2DdwwlQd0uzh5MBn1vWH/2lWhXTjJlq0EU71Psz7Tf5RMf6R6G8ujuHVX68/G6
RsbuAddWl72dCurG8JT7rDtGWOOiWL8Ja4Fuyo260ubWXmMR6ZTpJIjt6mlIDSB0UX/seQf7btjC
P092s83wyNGaarOUYOdGeTU39qPe9Zd+n9ylPXmZidY9FFF8oyKs0KcH0LaOOHBom6sxbm+kG94x
Eb9eGkBo4OnqADZ7tPKTRAZ6G56GcAE1Fgq0G/HeNiIONKvOdtLmklp0P2fwhU4T2R1ajgbujJjR
Y1W7Vymha9vKsyeAnKW5Lsa8x8ExnTOI+QZH/pgMHusFXXLhpBAqE809g7yu7zSfFCZJsIvOAxBY
evraavW0lX5/5bfW0yhibc2jPq5SWTjreDA/CznA9ayrm2Gp1z0Y5UWR4V1XhRuWFTJuNt4b01Lu
hcWnM1QlXZcnH7k0Fi5H98me7FuDXcPDWGW4JFrjQJsIONTzQGTiqHFw2a21wrK2U5NeJZHDrkV2
U+TjZRTz2Z5iZVROs01S+CcjKqH25fQTUz2xQdrOctWUzt2kI5hprfYZGtaLZubvjFUPzWRyz0c9
/YQwPqxOPHSp66+Longopt7YGP5wK2Wv7xKneK6kdWaLStojdTXspqNrzc61mXq1S7KMBus1bt7M
CVC/YePOVz7gwW4uHDH3myWjuxqXt9Y0nhvPN/e+Rm5I7bunZRjLwOtjJjItjhhGs+WKhIF3rITd
QXP727iEWenVWr4nnVWuBjdLOWvNl9qxbvuCRLmJHCksDOEUkBWXBmldlzhLNSA4+A/ZvvwYF+kH
pU1lmRpjMIaVu8+y0mczxcpXrOwT26LRsWF8eWcFFqREx2qGFk72ZTLbGFS7BgCjMOLANJqbqaSA
kR6jQZ00sywpZ96nBPOsKYPETmUg07i+KNzpIIvwBVQcaARhFRvDxWYzm3xa6zZ9d9ySLixMl41d
htvIMiWMxLY5VLW1zZgjQhV08q3n0fhxHi67Mm1eWs8mjk9gWgh3FSX7dSzIi7SrxMewOWkrvy/8
7SxKqEMY4a+d0qi3bqMfCCM8RwZl+Fmk3o4+GYM3Jrx1OEp5jIfhW4aveRvXvXk0apM5JWMfQkqi
ch+X5XK/TAXvzSTF1mbMuxIU96uIzL+V3Y8HQuzYktU9YLo2OWq5fwz95UwkSwG8kP4mzJZrwscC
XHK3nnCd86Wj04sHhqrU/yeg1nelwYKworFv8U4nqyEWLcTA/h02J74qOBy72WPRXOqoyPh5Z0CN
8alPjFMZLlqQVcm4q+vljKyncxzhAXk1pxFlc2OmjUbsEe124raXvp2+e8zB8y5EkHB92lRStrHT
29hvPblB62M9dGnYA9emB33IXqtMnPI2uc2wf681tiE3aas7q9aqP3KidKJCs7a9aREElVh8SyxX
wZRDQid8czUOyWXoD8xodW0MpqYN11WYnZUgDvfpnEYPTZzj4g6fwV3TuvDoku35iUft2TYFK0r9
Zf21tdwX76Ft+BtiJTPCIPOHofLYyU/YSTaEuF60WgtEnlzoKMm4ELOzHBV8bXGn2mLkANP1j9nr
sKSE514oi52WyCP2Lz9oMrFK7fKxkO3lXBpMvmVRYDe31ryhx6bTz+y8+CZq73OaaR8dFBSiavdh
l36wpL/thqrfdcRgdjX/OlXiQUs1MnLPCiCX7eAyssxe/SF9IztvXY8MGdLWPeAyVJ8aL1p3Tntc
uonOLePtKejUU6SfeeHzDH+QttiwPky2zFbgCm6TNOJ/5gAfC+wzba6vLBaAMAN4yY7K7YUK7JDM
ZJpQ6bBb7hwXu4JaXSdXTgNhw58edZNvXs8Vg4n0LEO12plF/25hbojckPQkxoeaWzBCLR90kwvP
L6OdDQg8kJ55yQb4fTtNtKMdC0qibk514p8TbQLtgNH+IIiFclNbR4ovdliV6EuNdAPUtgDYCmod
eTza4q9E+1lYxMd5cVuMDb+aB440pu5ceXmC8G+q6qE9uGZ8nGT6Get2so0m70rq6a5adp3PDoa3
a2UZ6PO5J7K7OB9BM1gEEoOr2KXpyN6FSyFjLm+mN22dKXrznOTcMgainEIt5s1qXlkNUCmZE3mO
0LHbMx6fu0giq9G/Pei1y8SZ4UXXbry9GeV7A1Pn2GdB6Jn1dem0BQb9MnGY+Vq2Lh7jsaq0NRsZ
XXtkN38q0L0meLPbKh+FvCYA/qXU7EQEVsiWd7S4UxJ4fnas2I5YzRmJtfScu8UHXtVWYivclES2
TEzbxKoCC1pyEI7VE7apZVN6Y0P/H+mb3EgJ3y5vJ8uZt2xdfxJH/wgNHcAvhZcIE5B2tn+IXeuV
PJrTnBCnG7vEj8VJX6ypu7o1eFlGONOorwTCCNeJpC7UuNg6rjTeP/XeUZsPPklgfnzetKz45bUV
zL17OfbJFVEJ52ocB583fdV9GXS+dU6cDtVNVb9xt2DlzfN1Vnr3XZJYx37QPhaSe3dLqmEiGT2I
48MJmw3hOiodm1ZiRV0zBU5YfmunYm+SHrPG0bpsm845t5r8xoCVWfY4Yuyimvacu+c+oRmutLns
MIruh5EnOjV4QVZc1pmVd6uOLIC2w7+LoXZXG1S7vp69ZE2ytuKrjHCB1JYrAjoPdot91PegSTMv
QaLsrwo7/YYpGQujjq9IJpdVpF3aLATm5XhpGVcOUh2RnkHbCoBQWvVIJPKhj5Pn3u3va79inR9A
KMGUs+Mq+ueauvdSNsZLUhOU0wlOxiI6LNJdDumQv/AD3seqtXepBTdxXzOIKsSLBaDtsVhGaOtN
ejYT2hp0I0HTslguplHi63D0p3rU4Atk19NUvma1h1ep6/kk+M+5XRFPGT8W5KL/29D/JyqS/vav
G/pd/lGWfzJi4Yt+9POG/ptnM4P+Hn311Zn/3s8b7DyTsEVOo20bzGD+288zl9GI0/p9xvJfpg4h
kiahMvyb4evfnXf/wEOnO3ynX/t5APXMaviengftXRn5fh6xkCbrGvPg+VdG0WJOtfWlZkit0v9M
UcYGOFrSSl/QLNtrhtxkBRYqNnABwOuk/nlb+hnXRfaWITRKioXRAGorLQtlqTbzWSUlLodyJtdh
GP1r2tRPlXe6Jq2P69DYCbymUZfQqzQ7DQ+qhxd1rsVeJPkbMTcmiOPqPEqn60zZV52+Dej39q7G
yivtLi7taY0FmiBpvK8sbVwaVECJMsWSjpJvB03upTLMlkJ/S3HQzuxbHVrPfcIBfFja6Z3z8ILs
xhzYPL/bs481qVeWXET/j1Z6QabMuqmy7ZJY11wtiKOgO8q1Mer7Bo/vqMy+k7L9ZqZoCbvECqyZ
Hr8tRoKgq5ZHFIMLT5mHJ2UjbpWh2EASiC3s+uYQbVtlOtbbyN2k+JA9/MjMqMagURZlosGeCzzL
eAKo+qsr0nzhCBWhvS2UwZmFjsOkLM9+gn9Wh4ISaJM1YkjGGk0WihnQ+xZrNlnAnMjrws4OHZ6/
FQl732QxeitNma1Jpme4AjnEjOQr6Z9su+n6Z2+Io45Tm9nyeaqs26EycY9fdm5l7K6UxVsqs/eM
65v4m49ClNMT7+dZb78shXNhsdSOdwnXcHpkh+12UjbylhDRDv6234DuNsqBa4zsiGhFzm8V4zDq
Mx/nUgTWPu88ixN/jHeJ54GOIVjUvzAIJDy6WTXuWC2sDvxdam1jaWwisuHt34YYqCHHSp3on6ZC
Dhhtae2Q7608yIc52umyipnbla1x7ub58OhVjrdnK1R7+lff/NI39b+lQ+yHgkWLb/3/PhHV1/1+
IhLmhYLJVhWjZzgenDi/n4gWCbm2DgNCw2CkVqB/KJygxNQ6NeG5JowV4jAZFf9H4bRwKWu6YWE6
+qGL/oMT8Y8jZ8sz4CL7ng51nLXuP2Jr+gGzvFvZ04m4mQivkLyput1Pd8TpO6/kZzTOd1TZrxwT
zUZ58VlohmzB7/vroaszV0jTrKtP5gTQqyOBqmOzKTaN0jzFuDV5/itnzq6XKnG8yziO3SdOCCO7
9jRbrmOtmA2MJPW6Ixa+iQmdDvONYybE2ugIAou5ljI/hbYI8kocZOezBVDd9ho0Ixnrm6Vxb+ak
25Pqh8kG7HyZkFpgW82RcOor4WVvucxeBXs6Q10f2Fd4YrZKOZ/EV1HfbTwjP7gx8TH63H7S2xAi
nkxBzom1Sxri4wUwoRWh5vtmpMYc3PSeZdnG7HD3l0+Rox0IE8f9o9dHQBQfeefHDOIshrLFR0iC
F7P7moQADUR507VbQhbPw96dAq9Uw5jJ4HB2tbeZgCfTIqJMt8q7UY+OoWHctzNPt5H0j1kBJTWW
03vnWEdpteW2SeuLMp4noppcE1tUaK/Dqr1tEzZ2XIv16EiaF0WETaDvzOt8Is12GYcnkZrYe0hZ
5/5mq8foP9n6RH1JjApXeHUqK+vMnVqLCRQxXnnWpHtHY4EL7SBaz+lQbpLaYKI3eiRX1cujXlSo
p2pDbhA39iQYbxr53VT4mD297Fk0rQVPoz74eNAu837S14ygj50gjEDTG1KTvOg86t9BnG59TGZJ
MRlra27o0PLyMVzYgQsbD8Ep0o+tN7RBP7o7ArHeIdkD3ZQtvnjr3euKOPDS5NMrKJ8jy1vIiPDv
8Bd8Wsm0JoPsI2kQCfWO2AKD/XAdi1gVFafR6N70NNXWrco5gj13ICsFRXDst4mnzAkmBiyr66eN
JTRikcrhxFDtfowGFobynoDYuFXa9W00901QAU5elyGjU4u9jpEbcFGns++ltwbRtYwjaYn88THT
qNgT6Xymqf9i65kyrwLBMucM1ynJHxdlkbfrKE3qNefKfUQifWnZNWviJOLlrhvEVTzxYZ1fxjRX
ERwNruOJv4frLs+ZE945I/f3mJYfFquK27HV7rMop0/BDzsLlbgZ9ehX4rMX3jP7ZszTsngNkZWp
xBwy6GXXyqkMzOEyO9SGQmlNVkuaVc1fw4eq0tzZ0URIiUOGR+3n2X2mmf7BXub05JjTXdMY3EH1
R4G5JMnqHEt5/U3vG2RpRCrGk6hp2dSfDW2SPlpWz7JPmKMYPJT+Zt7JWKbnBQSCRIibdkh9VWmQ
KReEBVHTI1524c5V0Pp1te5y214h6awjswZTZl5YJHtTi4E9YaWr5tlUzunLrnKfYs/+SLS5WXGs
Naji+rYgDmSM5Rnl7Cus07OpT7ClD8/RYGHuXcybttQ3mLlvKt08TLq4YfUqcET0YGSE1Hk2kx3t
zJ+iE8v8Jwm9ZOn67YLAzS70N5o1orLcNMgINtywUbTOMFm7XcsaOSpfW4+XLlHFbZMRS4O1hCnJ
xJSINj31BFqtuJJ9+1AkfrYJje6jY8PdaOZH0X3YA5/E0XG3psUq4zokGxmvRzhRxKaDFGKjjdJ9
cKNx3jVNa6zTCE+97dV9fZmZ5lNRWfi1F9bExzLCTphybq2yyqrlqmCXddfLql17OXWZZxYPGdFF
4Cyepil/IHX2GROJea0N9nLiwmu2bd68NoZ+iFvz2xx6V83CnnvuR2qZDQsSml+QNCNo2jRPtsVS
+HdW4cmLqIhvkyh6Y9og1lNGKl1Lo0ix2bPEVaIzW338XBq8i1N8B349DXxTHIexexr0akFmNItt
qKh4NT8fS3LcPWs/4wyAJuQE3VAvV4I1lzsnRbKV0p82Uct6PU959xj63RBYvVvseZq9oMn7wHLG
cT/q/bRDmarWZlHJ3VRqMdUe8e1Rj2KPBGfvJ5yoe2rZE9bQm86KVXO6S0dVoIoQtgMzpMXR7yi1
n1p9vo3s1jlArHyqVMIkIS/h5d9fuxQPP3U6lA6GBigQM7lDr+Oyo/TrpevkQw0LtBlOlYexXL9K
vTuHn9qmWyCA4+9f69cqQr0WnZ6jmzrAVJfhq+q6ftpM6roKvM/UTScv3ITZQyNJqnr4/3sJ9SP8
9BJT3uT5NOTTqebBBDKyiscXq779f3gRn0bTpbbSDVV1/fwiXYyTNy2n6WS2dw2QXgH64PD3L/G/
3xb+VD+9xB+W3HsU3Iicz+lkebdFs12KfkMVUrqvqfy/vJJyC/5adf36Suon+ekvlsejXThsjZwa
8NB6yajKOA4FwslmLI4LvOa//8XUD/7Hl/M19rSgC5g+E/1fX66PUuI6e32iA3rSVRiPcxfFZ7L4
t9f4Lr3o7BX8tfRyKOqPNnnN/6TX4Ot+9Bo6DYXCT+Jx+lJYeA5/9Bq685sO6djlMPhaRuSrfrgp
aFAIGtYUP4lnlx2C33sN0/jNwd3quaQI/geR/A96DdwZv3xG2IIwbYuFCEaLBhIMdLtfPyNu3LTl
LBp5MZtM+Ld6poHtrV3wBp8aKbg2pRY4HW53k2nssicZNptKyuWUE8yxspvQQCP1sFDtWx34DYv/
xnuEv3td+eErEOLbLMyKk8wA0TaLY2xNW4+od7XuonKcz7j2uHGJtORpAA7A6MvcuB2LZb0zuewu
6fb5gk55EGXeU+4zI5TrmWCudZpG7WWt6Yyrkf6ZW2dn2JLKoKsnuW1tqtm+IWgtB/C7hifMJB7X
yKU1ymNmJ+de1YdnxI9m20z4KKqISx61tQPeAGLVdvZdJos913BDjbfWsy9kHTdi45E2plniOef0
rp25PLrxcKc7RG2GBfo4Ony9jnwpLtvUeZ9KLvqmcvUdywafS5q+ILZjibNGvThMoRue11Yq75kx
hQyFY4D6JopCnH700WI8U/Yyf8cRsh2dvAncLsfLh3oAkcov/TO8gfrGmTRxtOpZO7dJ6N0lsIaB
yA3Oeeu61x4rbrfUgocplneiZpeyskprp3nVteswLISPzH6nZrFzUtHFLRlzD0ub0KhkJs71GD6e
K9vYJrkswuigmdlZH0q934EekJTJS9s67VXMezdCxUguJCl22CoiPWRQn/Kd/LXni/6q9vwGtwfK
iX2oe2ncCYJGE6hK2XJsx9K/SvAQNqtq8RhIQOYxwyuf2QSzgcz/HHU/OzewaZC7ttyy96HPwddD
+68/30TW+OvT6/b1vX0tYLH/iRtMfeWP8wv1WKNeIUPdcPFa4af//fxSwjIOfGxd3/+Fr/pxfgGZ
MzHfo2TwHyaC3Dw/3GAeG93ozZw77E4r7fmfbGAT2P6H88t2XcCc/HRY9C3Kgz/ccfR7ZbdU83Q1
5wzQrSEhMXYkEVa1PoU799tOZIxSsMSMz1NanNVqdYecd4DADWSBUOJvxKKl30Rq10eF6RWS5EAH
79aZ1i+vtloN8tkRmpym27gpeXN1Ht6ag3AuypGVZMlCwLbG1XRJNbZJo/ihx7Q1MZPbJr53BHJy
tFr9M5vlwxQXODSyqyZvWRo29j7WrZWfFuRrF2ZNBjNH4yJNMgo0q+McIa8Tvfwjda37yREv2Sg+
pjHmLGBwvJ4nidesKr4Rsc5SjCaAVo8D7hzgBZM6o0efMKDYIhrKdnQCfKFcjgPpn4OsHuKiujac
aONUDJRciWbSDGRHR+1uiEBUH5zavGHMdYHg/rFwisny5Oj1xKg0Iw/Y2dI5PhaNCVgmfI9L+260
GfRq6aeMrDpIcuPaa6VceQMTpzHq7ivRGys59CrOMc63c5/P0LRZpGgdRq+YXQL0FWvfeRqu4pwW
XSsHd7VUbMoXCSsJXZj6G9ErVhBsswxs9qoQRGoMIr0hQ9UIZoPtglTSB+oJtHO7EuYFrVpCCOFE
I4/x4biIFiFtJppVVNpumLsDzOgE2HkPlEZxsIYvJFb55fk1lP037ZQTOP9yBefsnM6mw4LunIDp
wzuMarSf8RLHvULMF13vXvRh3/kvrb0k34q8AtDv67kPX0snHLnjxnA1dt67BWRqZMhyW1sTUOPF
SO69yXto2d9gyEiYPIgeZGeG5ZOVGoGoB6bv0rvzS9YTChs1ORx2Oe4Mblz9XgzgdQbMMv/D3pls
x22kUfpV+gXgg8AUQO86M5Ejk6NIitrgkBSJeR4CwNP3B8tyUSrZdbz3plyWnEwyCQT+4d7vktE4
F7tBFeEtnuGa1tUortpFWKDzWZosAcZoKj9xBcCZt2S5Ri43XhcTenG3VxXDl+GlRVNxkqkxoM+O
3ioRkSsE3RWTtbjU3DLoVnrPIFxjtS69rt83fdDsjcbJ7mqnzq6GUhafUmPqNhUuB6gjUMfcbtN1
Dr6NHpNwSFM2OgWSODwGSEr6ctWV05XqQI9quPnXOW4z344N8KpUQdspDpxjN7FNDKp1HcFYmyxm
LHSciN6wa4UWa10D4stB0zz1JU2UYqVfB5vY7YrdWJXpa2raEBZ6hbexdo+pigCXzAjlm85bYrHn
CtmJ7TU3yhTBRRSa7tkdJkhLmPG8xZZHajd35mLVGxfTXrfY9zQXI19LqbRKF3Pfv8+jb5P7v30e
HbjSflFJf3gSCfs3x2Jgjw3L/UmXLHjeeLpumIDK5O/Usz+fRJLy2/IM6RCBvTxveH58fxLZvxHD
Lb/DU5fF4z+ppJ2fcaeA5j1z+R6gMpjgwX9q7kzyM8m8lx1xXE60Lcss3oxlzmzzZjKGGSlI7EXB
7PhWNOgREvchVb4tOkMgeec4IGFzis3sVLtxPV1hNbKRT3Bn2g1mm5HQXcY9WWTuhGTaSKVmZXGL
3ixIBs6IwCuLL3Pj9Na17HuvKTYSuBDAP9tWLSHCWp20z3IGSzFjZYBlgURkbAaPjF3knrukrbxz
VOvRIYTItqqVsu7rsuLgxC9Q9yWsNStNGHXXajiBlZy2iIlJ+czS/lY4qXrRC9uucHRF4ctgNeM2
a/X8AtplyWi1DC4Tzba2uHsiRK8CjLurzOlGSAM+aV+qc1pIdSkwM2wahLOlQhKNIMZonmH/tOus
Qy+zjlBdHSI76T4ZqkZfw1Pn1Z0zbzdEmWIiDaUJI8Yu0yzz1p118ImLsjjr9dFC98Z20u465KqO
TjQRxrdtSpYLLGWBzKNtcXyxDjBf+DV1+zrQsRuIChez50XGF3Ou5utonhMIG0ZvvKTMLE993YaH
iVXiZ84XE4qAgfqNLMnN7Ob9Vd+nr3ykxaH2HHEn2ljP1gkRNmdLIQ20odVeEjwebsLJji/tuG13
HrAtP5k993ImdXmf1wUTsiknz4ul6CuymuwCB0j70OdlD54hKfAWxsaZdNYMqW/UpohhA8b8Y+3c
MKDWttTi7bUZU1agdClPHOzDqW3TI6XDTLSF5m5rexrflRVle7fKw+NYxhbfWyK1M6euTtZMS2RL
OaG87Tpainpyi10Vosa1sNZRUDVMFGbDC45ZozkPjNkfsRYaF4bmVld8+8FWS3Pr3JYGorym0a+m
OSKew1XJIYzRWVETJIx/q+k2alwF50PV/hT3ox8Oc7Bt8T+G/1b6f8wp2N79daV/emt+oRARHyhL
QjJTcIgzgPT4x/H5fUYBYhr+nWBEQBdgOvJDjc/x+fuSUui/4/KXPeX3k9XiZPUwzkqb0pL4i3/m
+Fh2kf8ZY9k4gJmXQoGiAYeIydrypxGFqEJdRDOx7NDYIKvGDQa9yMg2sra8nRzc5zYI1bZeCH9i
mhNLO+at26MwlrGRPMUGSuSrKCj7+oAkoMoZuydK97Hv9RLub9Ooa1LTLiszjT8hHcQBFZmzxIM1
tzTRUfLFzGwO8WIKdxUp58IPmQ8HE8U3R7xhzfDyfr9aaxv44MEKtBw3nuhk1j7lEUY32MxYvVAh
mr3Txu3WKMZYHPMcbPNdONNss7UMEtY3RN2AJA4RkEjkjuPQORug0MlOS6faV3UgdkPqCF+N9bzT
U6d5AAXQi33qTc7sm21P+vtkePPoZz06SKY4gYa8wao0ZNvV7Jz7qY3KTWWUzl3sOM3Cza7QRaLA
2YkqSrs7sgrxnDpWlV2NhhMZu1ry77RI5edZWR4MCvx4SbMao1Ie8GiY+r/Fzx+3KHXH39yicRG2
v6h+eNH3PhyjPPoCm3uRvIhvJc6He5QMZRRUVEdUMUz4vrfhzm/4UV36Yxdv6u/34Z+36FL8UP1I
g7mkZAj5j4ofyb3+0y3KuBLHGBg0gtYwy/94i4rA7EhWkvYlQCKzuceblOWoIKdcbIhxoP9w0R7F
oAtTE/SGM6K1UtmNrpmATc0sR7A9dvG6k3qAFtN1WvBDZUOIohywGvd2yw3VtsERbCiq3zIr5/Sm
xH1V4cLClvplVAZZFKZ5OTlFvbEWy9YsR+wzdfRSSmQ9xmLsYtpKu65r6xHPFwqAdJ0b6bRR+MEi
EXzmeY1DDCo64vfsd+dYCimIBhQ72WA3mEnALcnRWZf91BVnS5vgGmJ+jq04wDWcKThVxKYFxVC9
GBCZQpCbUD3yYC2qYtvSN67LPNnXibaPY1arY1O86GaTULOA5kCqfB+H2qtxrorpXNK2j6bk48lm
9pNZ8EnU7k1e6r43DbtkvhGdc6+G9tFxgTBhU/DO/3Yh37oQbo+/vhEvntO3X9yHvOb7fWgYv5nI
aahTXSZfuvkRPWT+BnCZG4rUvj9ghd9vRAJpUAz9OUP7oB0y3d+IWmAOD+KCO2fxVP6DLsT8byLh
cgZ4/DmJUIArfk5pYpLNqVwX9lU6ZOFJC/M6uBvHtKj3oGDSnSLjBE06jvWahTh24OxgNSgt7F6z
92mAOCSfDDZSSmcunjBS245Ad1eWXHA5iP1dG+WMSohWSeHga15CXsIc1Dzh9K2T4+Fn+7r1ZvfN
TgY2vRPOyiCwZjSAUXgqRnVKimyruQMjLyPpb7uhZRA8Ol+y0SsAx0SerxDXZ3q5n1EIKCO8rUUB
5cuBIAOxdlgXebPvZnHptd4bRsub2HSv6OwPLFzv8OrttLL9rIVudSqC8lRHxApGVnwQnvqcgTp2
teguN+z7MHZhtLmcB1ZqVlTo4RMV8sF0Kz/Rgyc8Qc99ZAqGe4DF0m5QJAkSQxjD/qHNBHPUoMuX
pXeqYQgRrmKgmcwua3TwGA/Cc51bz03UXXWADjo+aIxA0BhLphNTUB1zmcp1XsLc9VwgezMacAMJ
5QxPLUVILytTbEw5HedA++w20c2kLEIau+TQh8Tm1LKdOQU4Bt3FryUCjK+q3NMVPaVUKNT+5do2
m3kbTrCYwyp6BZhG4Hkl7E0hph1QkCMpyOaOXILLorKMjeoyotqb5qEKIss3m/femfS9kzqezyif
9YjtbKgb37WxRafuecwve8YpMQKGQdaf3MbFLOple0AeNxmpfOCQAPgMTJi6Sq7tkHnPqIfTF/KD
jm5ofZV0TOQzJB4Aj/nJaqojhtUvoz7f1GgAGPE/qQoPU9NF76Cf8QuqFIN9m1zmctqnzG9x/Agy
qHv1Nroe/idhsy2owm1i9K9ThPmD7nwrh/R1oqxkLtgsWIfYaV8GtqUX9MRsL/JFjdmhjMs2atFo
8vNj3pwW4SZcOEScA2pkuepciY0z5zTYkLeC3qUOeDGDJi5QhKOrOCBtrGCE6Gk4eVZBqkHJrKJo
Pw361czNcDO5idylmosnn8YRGqVxNM3EXON1WZk1r5njSrtKQoKQ5KiXPoBHBLB2bUL+FszeLDMe
D4h/7JVdl/HRdceZmtdWPp6jDjUdtkx9GLYKY5Krh1d4ydAuGOJsAodcQYq/QV8dbtosuaydiqwk
8choYbprhJY+FYDcV0aNX99kryKCpvJdWE2rxjFT7B3harDAiBDWBEGRQQHEYpfrxgCvKwuyE4Xq
h0s8kAQblvBwtOnM6NBPPWRLPQutVZ+h5yFa6qXptZ3AlrsaYCcWTk9Ige0eNde0jyLM3E1ZJWJx
3zRfDGr6FaZo5cNrIkVpeVAWkcSalTfVVqsyXL3drL/Wwvic5Hmw9cAh+6pR7q6YiYdM08zelTlY
hBbSPPVyXa6Esfx+AydfzVZwqr1olyl1GXNHkQbTHxOmf5Hip9Y1wpLD8iQmcxfnQeeXHpaNZG5o
sz13PUbY7Ey35zdEqjt2qi1u8mmbF/lNZMfMEhefJt7Wk0tk1EpV+i620yccPbtea+/mdBiI5gMN
EpHGWIj03PYNQvU+hykmm11QVXunb99DM4g2No3WBtQHNyxyI+PsjvmnvE2yCy8args+UVZ5QCfy
EnROCEmGscgjpc9WWdWpD9y3sTQEIq782KWKhlqMO4k1898K4VuFwArpryuE8/NXsMW/qBF41fca
gVqdsEQW64iECYC0P+7MdKLpbCaYSDKYCS2BCt9rBBiEBBXjgeDhTTG9ZDF876ed3+RSG7i8wBTc
Ff+oRrAcvtKP1brLBBXhL7GUyGrcn1MdNF1MrdGJ8Crw8q1cbIYdMQ+EmTSXBME+VjgRq7HzNjPe
xGXXtCvy8JyV/V7HvWgtNkbl2UymFFt+mZ1GVv2r2UuQtw76RuCCLBY7ZLcYI10ckkCZUO/Hnudb
cfUqegb3nUtOOsFqgxieHHyWAr+lvRgv4zD64njZRhtU+ED0iw43OD2FuQrWMmCzw7ddbnu8nOVi
6gyF8YQzHhTnYvjEeNZuFMFqLJiCd8JM32jcsVotRlG3TBAC4B0t0+gGI+3zjKdUW/wi3mIzLe14
9lOcp/ZiQe2xeqGThKDVyvLFxaca4VfNacGQ//Ij9ouZta3ENaxYtnYEAeN2TRbba9LAZW9j49pO
kmu9MMdVHJOKoxa7bLYYZ+mtB0wM6hXfJqNN0cfkO7jZdo5sug49+QTD+JqOA9ukjuKhhbR6gTj3
rsWxm+eCmCXVbJMMF7yGqzfC3Rt146kqI30tVYSOGwdwKMDfhiWnFd1BuSp7Gx9f3LobQBjzPcgI
gPil3aPrlAkFAiZjJi/JFnzMV20xIIdkU+Ap1HlqLPZkU7maX+FYdhbnsuVWHFpBcDMttmY4vN52
CnWszlmO9G6xPxeLEbp0NDC+lGOxBIpYf5kYQOzakGCCrIrybRpKjHk4q3FCMJXB94zZOsCyXaNl
lRixszB/7bwI5/di0maqm/vZYtwecXBnOLkd0h3OaFXx+S02b8bR22Qxfus4wONAQIlfTOEG7vA0
QMwhKTI3yWIdd3u6VH2xkzcGW9Swn1/7RjexkpJU3S/282QxoveLJT1ezOnz5J4pQwBFjM5bU4EB
atiGFYpUD7PjUratZNyEQ4xZOpxcRu3OXYEXflhM8THYLNIPZLbv2DwSYaCIgsZEH+Cml4utXuU0
vFTSVBeL6b7GfR/olHW1lVl77DRPXmK86Dj15WLZN0Z2T7mG2VtzkcTi65+jmtQUizWVkjWkrdZz
bqgoO+u4oHIXLIANgWNsJojWCrpB9DiG3PNG6hKa0vc6rcC4nczOvJYqf4IGyTLcJZ8iaAE1MSB+
GMMFeEJouD/GwHwVlteyJIs5TUu8K73aqYzWPCbxJGhoCkQUOifcAzUoUnbbWCE/zWVwBSHjoh+9
dkM0ynvc1cir4TEb7mlw0bh0yWmeo52R5sdIi856QpVbgkddWVkPvqKxbnUCHths18O2HsXJNQF5
IFw6oN82fCflGycmrVXWSdf0d6eTW1Cey9Fk+WWQT8dSm54NghxXtQCrUI/kbQLDdo7x3G3dMRzB
tSSy6x4LVqAl8RQVa2cs7+Wdqfr2oRxH9TQGBuZMR2+HhigP1/4SpqV97NoqC69BiYXuoas160sQ
Qps+J2Q/73IvJQ/dCx5FRNCjPZI1gzCGrA6ul70Fjx2kG2WE4rrzbZitK67Cp97q9zNyqBVV/T5y
iAKRCyhOxSEEhjK4cef5aizI3UQrOK9p7q4zJ0zve2Rmfl5BgW3SzKBySt7DRt40Dm2UpmCpMfWE
Mk+Igazkrel1X/NpeKhtvKzcxWR5MElcxAa1Pl97Vnzq08leV5X+LEbO8bKA7MKgRSiRrbsuaPd1
psVca8HVlOrGeupwjmhoDUGuK5EeisXP3JrFsyyHyDcNvM4S03OcJi8GJugyGV9GTNEFmHp4s/Yu
sPBLh4tzWmKhhnZbDCVZgESYUf/Mu7iPd9rgXoWL+3rAhu1gx0ajeQgWf7bEqC0oz/ElsFPIFhe3
zBWEOXzd0eLwbhavd7G4vqFmkJNtxMxZmcVOWMPNQRfrXJVqBRP1Nk5sj5gTeRFgKC8XZzl7sAg3
gPapjgzY7LjP7RDmQtPgdsCYnjrldYlRXcMivCbb9DFxh9dk8bKrMTupxd0+jN0pwHVhY3vHQns1
LT54A0N8tTjj+6RCI6JjzXfhf+Cdx2AfrgltFaueXrtgfbMGjgchK9swF7+TXmpSzVpvgE+brVq8
+abbnZLFrU9T6fAfjltEWUdrcfT3MeF3MSZ/TECcz3SzkPtXqRbfYYB8rkECGDV/hr1ugBaQmvyq
dXyDzQISkBAFchG+JZ63tyENlBp/G8Ae6AZcyLAIciPa/VtPfqsnqfH+up68eG7bt1/tZ3jVh3qS
CAwGvFRstG6LjvfP2a/4zVz+2EUk+kfUxR/1JH41RlQLyUu3mA5D5vpPPemRAUrsGBBV/pKy8h9p
sMja+LmetIFwW2RxGLqFCsv7SYM19N4SLOeoq4lZqvSjIUgwZEhM+OEUE8xpBKduTkPTn5JhSB/I
tsGaylop7g7VHC+IdmdOL1p0/7OfjEZHKaaqooQ/WZiO/TqiBV3qhiaYCSlsaJnZUqMjEaH37um5
6O4I18OohbLFCjYBtHvu46pUTgPmd1mB1E5ozGBKU8WNMpdovVeyD0fh50bYzL4lBc7chafArjQV
u14HZbxrhtCy7zMBlXQLiZAUCEEDWzhWt68ok/ajOfXJuzLdcRsmbJz9MExQjkOG1fcRrJajFrjZ
S4ypd+NxLoLar6bB1zL260MO7NqLkMTquYbxhxX/y2Cz9J7nHEOHPmkRzT4gbHuK3h2lkU9VuO9M
zqxVlxNkLCv+rtISrLhDj6EfkdMpCsF1uEuTHsY8QJDLUjY1GiNmKVO6/i6FnIXmctXwkGSkjtSM
cCp9T6YBcy1A0M/CXVbJcxkeq0bLrq0JcRvMcm/nVsVbKmd7Z2YkfmHrtXZt2cW+Dhqf4gW+v2X3
2XWqY7Ii+grd9EBSc10r39Ugloau+RbBF9gzQ+eyWIK38tDioClDwqwc7aVKYeg6c9avmda4u4h4
NKkCItiICOU0Z5C4UQ0MxqwjWaMs85aMQj3ZGFqUnPmeaQNKp0TaM6xjEo82qBUZIUg13XheYO+U
V+Z+uwBayyX2ymwsd6X6AHTDTFRs7pqfsyI1aKMpOJrG0knYpuKkrwH6WFHI9NhEdiDh6ht8XYhj
Q9XdyJgJ1zyJGk/ihOeKJTclvO6NfktGwoKsqPxRSHIyc0COwVike5HBgGDNl+//PTa/HZvoZ/7m
2Czb//P/ivAte/vV3oyX/nl2sttmUM9Y22Bf8gPNENWQRyduW9/yFRcb8Pde3PoN6SqyV5f1E0Mt
Gu4/e3Hj97U3x6oNxQ7M9D9KEGKR8EMnDtZa15c1Ap0/Z7i+/P0HQ0jiSsZXhZdc9rk/2xKU786q
Hz98MNffFuUfzb5YiH7xLuj7cToTN8/4gI/n47vU5GyxwbaTy65M4mxTujpZfx50gXVAoKGfmG2D
0MMQFzJ0CzA9UbLO5uA0MM6+1avoJotBzNpRfKF0nVm80Oy1cHtsgiLW13oYHZSRH/ohOseDt696
caHP6qadjHM9l6exMa/Y2B/1JMWxRhD7KtFrKO/L8RL04E5iw/sqRgySVPL8ZZeOzMn695htOqxB
BxYCgkd42wGvHyWKzAkgonNU2pzvAjXKTafRZSWegWion3lqpF2Ba8GwHgLTkzuZ2eYXI4fHqDGT
2cV6Gjl+1NdV5pdTnT6WpcBztkTd70MP/tdBmEBdmFS6l87UTozOQJjBGADhv+rMynQfZqMmD682
sl2jzY69E6XCnwfPm4cuyU123k2kV8MNv3JrQzvz9StmAoBaF9NiuRTcTO82DtpJHgLIGBrpxnsz
s9Jjj3zHveb9WvOLPYWyPRlTSTWMNfi2lI09XkcC6EQdTt7Jaxx5xNgaPuExsR4HSXqgm02I5LuC
tslFtNWsEUyree/yRCZyT7XefVm6gCbRBPjwD62NUY0RjSD9VB2G02Ew7AGxcy/9js/8ApxX+9yy
uBkngC/T6Borr44PGg5THx0J+1WQ2be4lI+JTmCtVwrvFkmTWDEYhSo0ecjgKvj9Y2oR3iDQa8SP
bm4PF/zqho1TM3NpOhazLcIPNkhjfHQgafuSEfSu6zKxLrzAumyjgYZiqtudYw57ZRX4aUejvUEA
KnjC5Oe4yM7wxYot850bq7QJfugJmnayfRmDoA5N/br11F0n5HCPy9J9x9rNrindOGp03su439h5
u0mDWnzStX5LxwvDukx9T2NQ4TIBJpxp1TrV17bt3oq4eZuS6YE17qYxh6M35lsOECwt846c3/Pk
Dhs6rD2ymIsZ53LYDC+63bMS0rYZib5mA4ivn14hT/Dceg30XmyUk5k8xVGip/bwZDvxSzY7lu+0
aXtkGxCuNDVfED96MEPj7BCdqvr0qeLX13aIxclO8klN30JQ3vf6TK/a+mEO4rzW65UJ2hCYcaEf
EhtehpgYLkt5zc94a8Mh3ozxHLL7CUCUDXp8plcFyhQYN12GzlXV3Sk0Ri5meINZPaJ3DXg2uvl0
8riJ9FJCsmwITXAv3Mq8sMbyUZu7dUqr0hvhTVFXF2gO14PhXeT9cBN5bJ4MwhkCZhJhOBJJRBxR
QrTEum/K32OBLlMt/VKm4kvFMCBu01OZucekFzezEpsMnluZZWc66HWd1dNplpJajCLBZZ5Sp3Lf
k4DmNWw5IhrqaVZHt5ynQz0TVg1fk643IGQkKrLNFIKctkcz3dVetQtazMLzpNXbvz95f+GuEi7C
qd+pEXiR+OePJ280CSZATsa4sk4Nn+RlskoHwnFzyJcXXW6qjRyADZakjOXV/Caqur2p61T/5M4u
2d3jeNs3yYU+BpvUk4/62O3qyHkv0iRkeoZnHbo7MP4l9mLmms6WrK7AbteKghR/A8pQ6XZ7iGAv
UFL7dZy0DwaDEx/vLDBu5kqrrFiret2OB1GlbLuCYieSZmeABc8IrSNB+uuU5XcgFI49c9i5zY51
D7qkKi/c1vB2nZoAQE3x3hgje90CM3cCSFIR4b0hs+dNq7e31tSLdRU5Rz3yuK/RN4FTENiqm/E+
iQcy6B3WicZkXFnxXKxrh+SYMU7PQzVfRm1ySJW9s/F64yuoafpTxnQuVMLcDbdICH07rC6YFg5A
VYyrOFOnrM/3PNegKlSAPsupZeTQXKVJdotRlpUWro2NU2gxyTUUe01zHZvtsMlJ7KH+S+4tAo5p
MOJnD/pojAyflV1FKPy8TdN6ATPuRJWjhxVPST5tchOWuWftFeeQ2ZZfS09e6LU+YNLSvgbCmVcV
iSgsdkZyS3Jx0KrlLOsuYul8NvRsq+v096DjnkhOEeuknVL0weGVOdtiA/xo4e4mpKLlSf9QmqQK
ohxpGMWr/PD3lyrKop8LEQfbO2xnUJ+utXBPPpYICSgi9MA5jMQ+3pjJkdH76u/f4UeJEF/SlLSJ
7NRhUaFJWvSHH9/BdDATEpYVXmYOQW7OFXOdfVzdNopo5yZbx6RJe4n/9+9JA/rDz/Xf77r83B8K
rL5Ku8oyNe2sT8UdPkjED/wfnoqf6e6mFTG8ybpz7UcnMA9DDw+aiQ1pZIVaAJNxuS6a+XOpyYu4
I/8aasU285R4cSNLbnI9uXfcXG3CdDrJzHpygnQ8isx0eq6movT7WRa+W2nkZVd46mUxTYd+lOZL
WSTdFlGE6cdx/Jpxrfq1TtQ9J/DEasTR17TUd72VzSyOGe+Fg3HIQ8AsU/eVJeOeh9Kntmm2TqvI
jLeTvalHGsIFKpRMFcVumnt9XQPq3DTKpoWKx1sjKnAnxuSKmKGzAht34qJ/r1tlrNoqPjSWRkar
9WmcATzo6dHuShbwCxcpDojDS7oYHmVvH9I5OaE02BRTYGzMjLm/GaScsvrjsAxY4yQ/u9G4Kxrl
D8HMFaz7aRfm7IqqTZnk7qqaExKJs+Bcwc+FsrQXpTOv3XC8QylJAVdpOFTARJsmmX+z7HZaFWMO
7ctnJ6zPjZ7f1Ag4kR53q1YcBxvE3mCbJMi6nIjYYYoJV07AomBo+svK4RkJk/pAX/fm4oMhcdZl
rG3twsq6kCpb/4/L7X9d40sh/uFqUxYlhgGi65xcFNfhpbatT/WD2s0He+9cuDx61q+GWrH0PhMG
ffr7N18C4T/cwt8vdVRuCAQNiV72xzdHwekWKciqc7WxV8WFsa62mHXESXuUW93X76+09cXj4CfI
cp75n+xyutBXx3gbXJoER/+P7+bHxubbN2OyBMXk59BG2T9pdiddMZQVSXQZ6ddg2Fax/tgM31rf
1/H/hm9MTrMpLIuPjc2PZ9Z/v8ey5vzwac9N3mtRlEU8XN/CZu9NN3//if7yZ5BoqOQyR2PE9ePX
z0dnRtRR8/DWrmuP+8Gm5vx2Qv3rPrX4NP+6fb+jdsMn0v/3Hn153ffeHYOpxfZ6KZycP1ykf849
TRL7PArrRetGRBQ3w/e5pwGMy2OzvfhPl4zf/8w94XSB1BJADS3iAcVC9/oHWjssqz/ccQjT6aaZ
AXCdm5bDt/LTBSKCvu3Thi3A2OhyWwyW4nENXYTEoD0bY0LQJjyamPP0K34I/aRTAXCOkmRyQFlX
fkZk0p4dd+lGTLO+S3rH2ttj316qNKi+VkSO0r0O8UWUAeFcuJ/xuvI0uNi50MbrFuP4VZ0k1pOm
07KIgJtxHQQi28xFUFymYeV9Re92O42ZzfZEaEcDNvludgkf7NzJfsoG2dwpg+akayN5SPtl5Cp7
DXS3jUfU7PUOJXxrvLEszj7belbsIbrD7a6C9nnAK+xHzHB9JOJqJxMF2ikaqhuVFOjPIb6GcVht
BlJ08EhqhTW8lkS4WydBV8maAgg90Pm567U3lFDLQcG2j7Vh0BbNlYwqtEvoVqK7KPGWvWMP7Wvu
kOWrS0zlpbPSQysaLai2ypVIF4ZKaRvbCLP45GiFxlShz6YXvFE1nG/lbb06GJ8clpXPgEpsNGPY
ELdh5NjHCbXbXafK+dm0bZvgIyPWT6FiOBuHDD+DaghfuJJiNuLz/By00fzmxOPnhm6hCOOjtsQe
5cIBwmg31R5+WQg+WPTTLsVlcwoF+5W0HDmTOxbsqzEv4QzFKoy3LfQcevkhJ38rrR9JDcwOAGvu
zbSOaGtqqhNdDSvbbbq9k7TOnRtV+aHTOu++0mvncvRqnZFu6aGx6uzyU4Dn6q2lx3jRpNKOZsYU
oxpzKDOCVrUbCFTWtHb04bbUHdyouHqXqCUPUxUUqKjdxRA7O1/CWcjN7AFNI+A5uZCJlZxb/GNP
gkhDBFNyumjTuXya+1E7cfGSACmXDWHYBJ+Bo6v7gnLOh7oc32nxWF1HA2ysguqQTtWyEIW2rSWI
tPeijmgLu6VDnpRcApScvTEYb56DeDAzj3JUJrjiht6b9a94A+MLepfcgpVXtcQXoWL7VqH+exYv
1py/PovPzzDm/vsgXl7050G8iJ5xH9AgMErlBP2wgEL0bOB5dGwIOosx4c+DGGWzaehIoS18AX9I
pb8LmuRvC97QYrpKN2AxmPwnBzEK5p8PYgwObMgsllB8F3zBH5/ULnNa2PEEMJt59FBz5a8zynyw
yTW195xv3drZCdaY9qRR4HsPAKO4qnqoZLnnfEpcAq3K7pAniQ/8Kmg3UpID4sdMJu6zJf6yNPSb
UCuaQ8cqngMwS7QXHOfsWQoBbeAkgyEfoc3pmIkzmezbjglH3if9jY52Emq1c6fSpc4lioOIQLYI
hbmpojlFjVB+mibtAdrVvck5u9INVAF6g8JFm0gTc488ljZkO7w2swmgq1CrkCi4KjGuWUw/GENb
kBDPbjfolo4ZK3ofFO9Tg4MxIl4wsNB+Gg2dhm2MV10jnusMuYo9mP0GlsjXWuXzptMZ/3ij64d6
Bxu+jMQ2xU+LnVCzpoMaS22NyvQkenllkrrXi+g093KNJ0uiko2YLxnDqRmqx0j3njSs5cwhTXJD
W7+zIZLFuAWbZL7vGrUdelFdikChVijfDV1Qpse3Xr9oogieq8L8IPLpIW37k1YO73qDKErXJrk2
TLNHKDsMZNqlHWG36b5uNazgkbOGF25sAoPq3qYEvjLYs7GVqWnlOnL8IjKru4WqWyYMLHN2a76b
pjNR9mR94Td7jabwWJgIo7sg0VeE7awL12Bnbu77vrkKMiApJn0Z9timrtj/OX2+62ywgyt4/Aez
a9Zta5+7EdqMWRrGOiqGrUWMagpdLM1GAl16pEfF+Bw6JcZ31BBlRmwpyAoQwUhcI1N71htAn81A
+IpIGcwgbQeYgxOdD9Z3dWJdjD5ySGg0IfoVzV3UMhY1uhypqhEymZUkLs5Nv4+GEVaCk1kIIeTG
RS+2Y87REQPP46JniC8166DV7QPLjb3eGw9q6MQ6jFp907WGoA8wkgsWrwiM8K36kQ2RKhjIpClG
YgiAXQa7SQj9shpN4wYAJQqpdNh5JLmj8z/maRvANzaeaQlsRNFTfCVNg8gdvL+Tm2/7rlUMIONs
baviZWrLrTHEn8sQdrIHci8kSHGdZFN2RU24goGw+3Co/aJbWM6A/7gI6UDYTfMEp47H9YRxcVli
f+gWKnMElax54irL71Prq21v/ucQ5Rdv4aH3xB/y/9k7k+W2kTZr38ofvccXGBPAojcER5EUqXnY
IGRbxjzPuPr/SdUkqdx2V69rU1EVLhkiCSIz33POc3hGAnv7tB+cymBs4kiYp6T50iXnqbzN3X+r
wX8LyOls03+yRr3m34qv0Y+qy+QPvlunSIpSwgMnRrA354/+PDCY0pNLxAsINx+PHHD9cWCQ9F6d
lKnLfclOXp4l/lin4ApwglV/5/3+g8OCJT4dz7n/LEO3Md6SxHMh8n2af9nETxz8BspJU1IPCgcW
S3N+9Qdkm8Sicawz1DUj+nU9BVlKLUhZX7t1plzpdq8YfMeL3IZR4zJDcTGoL7tGqx/w6tnTV0tx
WjLgfrbQpdM9Bgu+aHRn3gTNwL+xDm8AsJPalC55cnbjqi8Vd11joc/LRP0aVLjqK30s14V02g8d
nv9euu/bgv/XkI78LtHr5/LNpS/9+jMgu4shty/iGCTugDsCSDuTJGz+nU7B2Kiri14mAHjS4UWQ
TzHCAZz3XXxK1ip0zf7SkQmCrI6DFcc8YwMvhnCeTBrUCcMdkHwLYwKm6WDdWOgymTAzLdfbsTnH
NI9gdWrTp14mGTTtITJpKAP0cxlVQbhkq3AVzy0li8QgJjVmPRqAqeA9biJKOBzWfrOleMqRKQpb
5ilawFwX+VvGQqYtcA+qq+YtgkEp77BwZC6jL5G/+FiUE+Agag2Jb9CkZXgtZRKVTHYkfTFezTLt
kTdmcjUSAClkEsSVmRD/LR6SzHO0VpQl2SQoJqBgYxkkqWWkZH5Ll4yj6SwxjJI5iUPShgsyif4N
PXTlpn9DjXNj57u87vtN1pAG8YXiHCMTxsMChsoxAabp5Eet6vwrrQuf0hDcapiLl6BmZD2AEFux
LXtKtDagKbT8rrrQ2VslOKR+CFw4nk4pogDc4ux7OFtLZoXtaSKCA0nJtD2zdhKKWCAgKb3Y1X1l
X+gWq2gfTxzTCFDoWbYxQ/7h1rgdR6ujrHOSeeqoI6lpLVq986NF3Q+6eeytUrmYDJsMELaSs/XG
n64ZIrLBHy3D0xv4CGWctgfCjViuudHgy0DHrSur2guzKJZKUeAxZoKJ2tFt4G88y2WvVVnCJ7JK
F8NI+UnaB9raMn2HJr5srWTuN11paA7Iroquu/PhBDWlzbBbV8pLquumnS6D0UExbxWL7UPGUn+r
0qG7cpzXVhn3UYoqYNqHKYRUY8fhphonMErzmtd8cqb8YGXZ89wre0uLDlmIDy/qLP+YO1hrM7BK
6y4MbsJpDMBmp7s67rdJxYfkhPZFOdAwoMS2v8Cf+xJ09CS1IjqNfQGGOGcApbR9BlONFiGR7tzW
Wjk1jK8aPwuSGdGT74Jjatdm65r4OmdKT+1ZZQOd/SJLb0j9pg0ThI5CKt0oFAhbhsNYFe+cVD3p
ZncHhtihZ8AtBMkAV1z4zvy9rLRra+52NuxVI8tWoqUTgQppescSDzvXSyiMjaj7VROgNMaWc26S
/Nop9G9uwnc4S43X1p2uTQ7cS0hKx6miITgxvZLPGFWDQBlSEPKN11OdhIKVfcVRczvI+1FL4l3d
hWfwXqcMfDXJup0/Fls7KzwepImXWuoVdV60mEyejtCX+91ScXB9zcoGru/WZpJOq/tWNONasaRA
pkdfhSPbGTmpk/FKQns1lcUpL1VnlavFBhwLckQXnPWWyFEfbEfVWXJkP2DLX09phG0SkFUyehVf
Ebx6nl9rS445nt+mr3X6WvjdNY003JEq3WhsYwYa/yp0MNrqNZNrsF00fcpaQI02rVibvYWndLw2
R/c2jWedClQiR3TxbDKz9lzf5Q70qZ+y1bXjZt8nhpE84dbkFryGfjbhEIYLmnDH/nUL6/NR1Vq6
lpwbIcpHJ2yuAxp9u+xbPpWvlQpqFj/XwjYgk4ly3fiUfAUmQ5wJHHN4ZYAgLHrjWvfJYyiUFNbq
QoXCWKrqVnH7rdMoazVMb2JKXFpLu6v5TW3ovAthlStfAS+idmu+ipeN66w1o7kw/IkLVit6Hkdv
zJtlUfk54Br9K62Zj/xVBDVIPk8NTCe+SXDNwsEDhPPS5A2bcGUP/HA3KzY+DcoP+zoBYcsiEZZ+
RUfPxGZa2Bu97R+yLn9uCWpOpb0jY4NFjcBk0dbb3LF2KiOXxWy5CJv941CrD0UdXxeKhu94pASq
471zV0Hebu3W4u60yXr3V6Ad9iViZK90N2lkb53RP/myR8TMLnpfO4YFQkLewUhOpzNsRCy8A1xv
5yqu3YOhjU+lQGSuOZPornPn1+KqqZtT3ljXxA5V5kPNTccOtC8xztdzt8it9JBaAXiUSl0MJEpq
+aCai8cpafd6DfSrBG7O6Sw2Bq8Z5KYnx1ic39XldKHpxV7RKRCiUsr/guUyvWHGArpLby9qJJp5
GDgLJSw88Tf8+Xdxm+H9RVFduHb7ZOLX0ImbxwXx00j7JjL2+231mNThDsjwiectVr864QDd7EGb
8b2kI8ybVe0ptJpy7RrJbVa3cILGZJMY2jlOnJgQIGelYjAABdlbPxHeoCvZKpoLuoDwgwcDlSOT
LttN6HfJz8QMNrE/Xoz59K1UMKdQ4tQCPpKZfL4BDamM3l51XbCqmSV6hCFw+XRelrJIkBze9orz
re+tNaSdTdDba8DhK84xPH8afOnBOK/HLN9PbbCvW+uWtA+mopb+EqaKbZTQPM/AjH5w7nWc1pRn
1lqxS5X2OCvDU1OXX1Gc0doblyj+eOxNDnGZyvL3bkv7vzqhWIg3uiD5IeWbz5pJO9R13UW5clIz
oifJokiuFSzcP7+IFHI/HoPkRRiqqwYZSzxuH49BpKZUQXBNOY3Ol5r4Rvc0FoQOlxnO0Z9f6Ucb
3vdX+iQpF34xabPPlXQKJMxpUdoUP8y7QtzH3XNUiF+Ib38/fPHC+DYxlEdZYiD18YXppFEcPy2C
c688t92+Cr7m6dd//orYLbNZ5jKM/D9dwhcEdF36zs+0HMTDppumVUqRVRZsIuYtevsLXPgPXpGp
yQoQTqwcKMWnE4NMMOmT2kZn6CGLyMCKCoAm+cVr+iSiyWPJh4t8EsgbX2kt4XORuK4XbX1gLrv8
+bv2q5ch//zdwbtv57aviUifSWwJrBQJo2rSXz+/CGPGz7f1h5fx6aMpkykp+6yJzqNCtZHludEZ
1g8PuCcLT0pz0rvmF1f80csiOUjqGw3Kwpv/8WUlkZNFeaxFZ7u6qpiCl3SS+N9//qp+dA0c/MIU
BvcB2OeP1/CpnhROX8fnvAlXGV1sORP49O7nF/nRWwdrmjEMiDNbdz9dpBhC244iqiDq8ikXh5CT
YszDwPURpPYmDujBv/r5FeU99ekZxCPuryt++rAwXWDS0iYSkozHgJggJf3iYaB9fOdkqsHSbHIP
9JQhzaHhfnznmsLEXj9q2Tk+MLXdsXgewSKsrKvw2vLoRFnTcbD++av6eEk5YOIdfPeqPl2S7Gs2
4hiPz73AlUGbuA4wSS+2P7/Kj987k7eEldMS1qdPS8yasFusJ2e/cj2dMJzT/uK9k+/+50+H5DJ3
m8s0ixHdx7euBNRDPliJzzZH38nR2W0+RyZdkXH8i9fyo3fs/ZU+PeCYqha1Zov4rFmvoXNl+TfV
/IvH248vgTSrubi8Cb18fDGRlvSOOQfJOc9PFnaIMdIXeid+sdT96CvEzfbnVT599Endh+0UcJUo
+ZrSyWooq9pcW0nnJe1ZSTap9YvP6G8vi6QN1GNANCxFCB6f7BVQ92ya3or03Pabqn4exKqar//h
jfbpEszS3j+28z7gDQ2r9ExLNtVuoMXi3wW3/62BQ/Zh8Cpk2h38jcuc7eMl4nHMlJST1rlJvyrz
Tgy/l0L+jxf4263MBRycA3xPGLyhf3+8AI9Oe9DyOTuzz8s6IuvxLsI/nbuvb+/Vv8qhzkfyk6ks
ymFZNC9/Fw/lz/0xlIWGYKgwwomnoSFCSX03lFX/Qy+F8ZuoyOPsz5msYf+HKa2mMX0F6v2Wsvhz
JmuTa6OkmbyEYZq2RCj8g7ks+2vugb8ed5g4MBJhToTWYLBWMLf/eI/EtZLo9qyHp0wFD3IM0dKf
R00NHTpY8zw4FyRoL+auEs8iNAdsRkoOE2cYORkwZmnu3dAsblw3smYOZ91AjWputw+N0WEPAXdt
r0TIBNKMlPtRRxIag9n0Ul1PPH0UZwemZhdop66nmiOdXoZgftFD30T/uBaNk1GCrW70NIuQtcjz
a4lYjT2taEp9gV+OVoOG2SIWc2jh6vSSVDUGv4HHNvZrWTZLueKEkdgDsChrYkdZFe4srM7dmQHb
vX6gIioT10whrrNIaMvEwO/rj5ezUwdLt0ctzKub0tCfQyc2FgWz0HWexx1l4/O8cSI380gnsL8y
retY2IfeaR71jFIFkacHyp8whCTEyH2dtvLGhllbB7B0htLxyjm57qvyrjLn8mjUPSf0nBBvLZFG
NdVpNL9LCk4KcKg1iCiMeZAegJ2DdSsfYRv2XqOpJdzr+nVu6onj5piunKbbpk28Yaq51Uhfl7Yd
E3B2PdMEVero+ppoK6SgmPcAmOLgBcyPt1HOv5n9yCHcLe7zMPlGzPbKMSkoK9OvWhLeiqIl+tHG
5sG3/B0T4KuolEWjlh16ELP8RQAeNZC0tiI1r0Mhbs2afgXcjd9Eke8hul+Xk4N5XnXwQOQ2I5W+
iCFYj/scGaCVLg+zyDdppOCJN7vZa7Uegk5+H4sGrzLPxTVJ7JUo2xtcEoOnDGizeG/WZmX3l52E
PNhTgwhQm7s2Edk9IYtxWSfd1dwzxreM8DJnHkafsQqvYuru6in+4vcDrsQQl5JlqmvqUB9QVB5t
P/B0ZOI0YwMzyl9D7a+VCVqsP5/SJCLrr69d/8zNWlzSmHxI3eQ8T+I5EnAFcgqk1vUYAScg/g50
coLjzW2nWfGh0AskyZpfXHEeFBvCRmsNkafFI+zvWhaMJZdWmZ0Mt97TW3juGxgHnBywUtvmWjGq
Z7o+l6Gl32VtGixEwcC0F6cpwg8FUmivuBjp+wpJ329umcJ/Ecp4rEX3yjzrFjr7jp3GIe4TbaeG
NmC+1G08q+BzIJP3LdVQCPSZQKIzpqB3cnHixUuXSfhY1bDPNDU76b52xjy6rtzki6L4niOtN3YI
oSczsrOsESKyjRkga/OHUDCvRczUF4qap3uF6ifPkp3WviqEZ2fZCwnHZNVO6ZXW+I+pUkwex1tm
l5jJXWc+pHl77DRmnJ35NIjsBY2fyR4XHfSruIyWqU+fNrXQTapuTMPcGiVtJrQwHjscF9SWO/l6
SvKlqUt2swbJzAovqDEw9hENAVcN1XXNxdhrMiaR93QAGjO044rcSuw8dFmeMgLPNJAAZAbWVaq2
6A389kHO3L0cTf08TuYFmoZ2GfLF8vjMrVNuoxdbPXRWGAzjw1yBogdRn+6xEFmblrcA75GSbjVI
UQvKZmyD2aXPOKwXbbhtFYMsLD7llDmeqq2V2P999vHvMq2zcv5kmS7y9pVU0g+WaX7uj2Ua0i/S
Kbtkdv3S0MjB40/tVPuPtDnSwCXE70nyP4KS4j+uBj+AXRxnH/62P4TTN7yoy2lIrtBsjK1/skhT
J/J5kQZPYGDmdAwJX8SL9HGRzkow4pPmiMvMmPs1FF5zWaj2kw39srC7B4gKd8l85U/U8lbaSoeV
2bXBnS/hmWhMBoUHybKCq8kTAMamMSR3mYRuahK/OcHhFC2aJyaGXQmhUw2AsZddgRxbA96TGE+s
Ks+KBHtqEvFpSNhnLLGfM/zPIYIc5wf1RS5bzWNZb86EPKfufGaKnpb0nw9R9TJRiO6GxksttMdR
NqWjpBzBKdCdLlvUS+rUuw5p0pIN65PqPEcAI/Y5gL+VNkDgUylkp3nvWZUN7SZV7T6ZatTMeTtT
4t5T5u7SHToJ+8atNwl59MrFw2/Fw10XRk9OpGwHSuEb2Q5v6+XSbUwvozleiwkPpdPlSKO8XHoq
WTHvR+G3godL0FI+X4nh0pVP2SLSd2axRl9e0CRBtvBGWvJRmtrkqZJd9vyKm0a227N+LVPZd99a
pJ6TWGcGbvqLwmqabS/c3PMHg3mvchBZMWyLlhJQP+pWQxGjVIkD3JJ5bQJhkvXN24rC35oJ7bLV
G1aPWt3UYqY1r+/Ok+NSw43Oovp9vglztKYIOTbNuV6KRGIFwBXt+os6TxFZJIYbNI0WzJZH4bsS
BXRgCn6iNPAyK82liAmOA545DEFIfMpe2hbh8tZEuUpVCwyHfH4HqFGeGHr4aglBodSm6goQXwbE
ja7ZKXKROTMwKq39gsK5g4jUrrsGoQgfk9TnrwZbNJ6tsWuqDACFceWZVXyda1m8DPnklNK4s8iQ
V1SKrjjPOodK0bALF8cypj80G+/DpvlCegIvzTD5y1kIEE8Qrb2pBlCSxO2un1p6N4m2dhHL7Qw6
wovC7MpvTINO03ELMaFY1wH4IRbugS7JnaFH1HHYCIh4ioqyPJl1yC5O3VCugoSGFkeABeErNW7i
OX8m97tvteFYzISZENovwAUdVNihekaqMVXLndM7X2II+W4YgLzS04UgsjI00U3ZKXfMfndqXlx0
pDIoAdslYAtZJZ/zJr0TScWbOg8H06j39IMcux6/FwLSVZr1G0yrB7MTYGGGbekWO02esidziyZ2
EZjoh/Vk7EsyYEOjnlUcxeturpd+0D4ONpzOxpzXUU0jVScrbWb7onb1aysq90nUb81k6niFWbfD
NXwy1foYlDbKYI9rAPc1PoSbpmgegrza03527EJzGQbTda6m7Oz40idpuGan9hAk9sYKim0mImcH
AGkj+kEi/tqjkbuR59jGlYmQiX/lKlN6No9q5YVdvYNN+aiOZFIcNU2Xrt5d0yB/6MBQLMg5hvSa
ZI+s31u7672SihWA4orXofYbqXieHXczKMOqdYd1GvVPOW6wxlK/z03QgSDTVzObjEhlXrawZyXP
rukoRpxzhlRfO4XFs280jAsoWyRyRbp3g+7ADm4HKLkFr+nuKYA+mX2694NpWKAUHQcfIlfk5l/6
qCXYUqeX9O1uqsK9rEknsksZ11mlaqvI0u4jrTuMRJSNRMH7F9/M8iPkUPilBDqJKRxG0LDXAuVh
VPuToWmXagK8R8i21Wl40RWMk1EZoBRX5bJq+SxqzVrnXRBtKid7Lg3jOLlZi5BTb5Mi3iQ5RUXU
7dwj/15UTb8IQyhdjXLVc8TxdPOW1l+CV/OXOLVvZqsNDrlVlTs18K/LLD8q0sXpV+nKnK1nrRQb
aioWpsFmOW4J5Q71qG8T2qJ1PXhNJsJiDGXV/YQtmuOsvta00lqrkbGxK+CM3BQlBz00aRGo2ybr
Hpshuqny+TB1wa1fN9tcmQMShs59PkQbXvMt2NaHtgr73WiekwRdTu09PRbQKLJxY5kFbTnBbaTO
zdIR/VYhI9bOzq5uBGVx2rYOXN4a7USPc74IUX/7Tr+BY+2sVA00tlMPyaLXYJEa4tikrPertFF0
/NpDFd1bWdTy8Bf2Xs8xamRO2q/DSsDywIkSOT3fzvlQYTlaYMuuSdKV23qcNnaQu2eOHA5uiT5f
zQr7f72njTro2fv3VLb3gK9MkcdrVhgMKRzvodCn3sjh1YKD64fwpMYU+2PRu/1FnI705inT97zG
k863eJFMJPOMuNYIT+BTtdL0oS8CHXiuoEmL3NNaCxtbWWSxIByWBQf8DeUpr7T2MdZsTm/WXCvr
zhmsq2aAQps6M0ajITUhFPYElVblMBOb0JQDXqYLMp9n3UnW5hivbH2+B6F8HVTEGyodH5aRe3oK
BTTXqkd/sGIpZq5qrSFWlYybzmRXb7Ttlz4GZ5I4T6ZvHPsBYw17dkLQ69a30HKaW1T1aenY4QtP
1nsw4FucYCfVGl/92NhD94IZHKK7RgalyQrQ9Nna21F2BOVgeMLOwA4i6Jao0R1LdD3hzhC1f4pV
a5kmxXVL/AZ0yryjUvlgjdFWq4mbJ+Uuc8mfFWpCxQBWXvp2r9whu2lxQvfFRJw1z29zMoRepiR7
NRp2qqocYdJ7bIU2+ljtWt+ljoCeGLvagw58EKaxT3O6vg1WWsMhL19+9WMwPklwNfrsFCbMAbMf
rmqO8lbVvmahe1By6ku46UZ4CJ2bfoV9ScCeupRCja5rnUoCPfJcM6ZNMoODNqo3TaJwGMwVxQP+
ALQuWBFYXfs9Uwrp2u3cBhirts06/ZF5LyXJ2ri2ACEbHDXYWlQLGAEVT/fkMTVo3wIYvBhqfeUm
jIS7ICWWG99Di9kYznxWe0gSSavdToO2NuLyodCEiveFMK7SR9/8uugpVh+6VRsal4OlXvqBAb24
FStmiyvTtzexG+3cSHXXQQBFI5lfy8m6bEtquXm+twehc7MExWDBhbQH9lKltvIn4ZwKrbjIzW5F
6J1Sxla9Sk3lkLaYepXAWDcNrjDfChmTkPTYhpN4sgasVy5PGoT08TCODv6XoXgYqasoFfGk67Sw
lFH1qOJpALXTrRPyIajevGrH17aufPRUuHT6gjKzoE5jzyqTY4lRKgmU+aTo9Z5Oo2qp46BZVnX2
nQMjjJ+p4mDJf03Q87W+ugnIedBIRqmljX1majvIB3LVtszHUeOLFqukM+sRM0s1mZdaEl1y2PfM
2Ax3djg3B2jP0vFrPJDfCS6G2r9ym/QJ05u5lV93sA/IUTmrOYN248kJGYOU5pU2jNHBNXK4/uUu
KNVbHUreXFgqrptuE6jFUs2SQxVQ9mabcHKt7HvnFPS/GfoqMJzbpC0uItiDSS/YZ8LJbfT2cdKq
a3eEnJyX9mWsBTCn43VqmxPw8vi+St0nczSuEaGLvWWQdOpwda/11nyiK3vnwhGg5yfKN3nPX6xU
2rrQIgZRpJ+2ccowoMFwCXPTzFTjZtRinWNEXSvmCnCHqcdeYghlpWuRP8f/TDCAyu0KVxALZY3H
56p+OkCRaVJHXc+jU1wy/86PzTwuXPPm3bHy/NvQ9H0g89O4/feLQBvBZI1r5i0v907pTXxYL7R8
Ryd12in5UQVjpZi37XD788t8ksB+u4zNUNFEcZP82o+HQZ/4H6cAlY27/n0o7hTjFz6MH/z9Nh4C
VcfHzdv1+b1qqFMpCpGlp3zgRts6PgPwP0/fP3ibfvT3M9bmHeKNkvbij79/YJOAM6wqOzmcO6yz
9btH/H9UPT4ZL/72/nz6rEF4aCEdh9EJxKGSeQkjOXtpMs57TePlz1/KDy4FwogYtYOZxKao5+NL
SZ0A1M9cJCc13mKKadVFCY7L9FiGwZT+/Fry1/5rUM+UHjXy/cfCtOG9IEVZY9bbIk1PJbUYDTs6
j68Wz9SpX//8Qj96Ue8v9OlF5Xbs4iX57UIGoEti6eGadUQuxeUv7jX5S39+Ua4040jsgqHrUll8
95UxrFwvWHhpajTWfvrSjyvL//rzl/Oj2+3dJT7fbnNjsVey1PyUOy+x/2Qq/4fbWYaubFMGwKy3
2c27l0CNpNWaCmWTMU9AA3Tv9H94eMn2DEG1Al8b0u0f36RcydnfC604zfbLYF92eMLU9hfPrh99
6NzENFaZEtwtowPvPwhQw/SukF88YTPE8MzsWbOu+npRlEuCVz//RH5wLUflZeia7Nti/vTxWqFP
gaAbWznlyexJVmAmQrgw1aJgj3X9dql/R57yJvjzobt8aV/+H13GHFovKTX+7/86vtZfX7/9YODJ
T70beKrUmnHDWvBIhM0fvRt46iZypUtSAz/Fu7AIwiQIdh08u6uRI3iLQv4x84TSTsTIRks0ECgY
ff6TmSdod+6Cvx4Nb8KkTb2yxnwGN5v52Q5oKDqnmCpJTppqtvWF20al6kUcVxTIy4lNhk4glXld
FVdXmp0sOyBsMBG2426n+vEml3huaY5vnXv85oSMo/6W0Wq9V8e0CB99SewVLeUcE5Y6L3vD+Sac
lKFYbkvdAskC9LdIptOopD1jNP3FR2L3oDjuS0DBuRhBi4AOHiGalZIl3DnjPVj1b6K0r0uj4C8w
5nIbjBaxP6fYmo171YIm7gt23lmcyTEh3OJyaJM7H5QxzY0oX+oEQGrUTrTNXg0ZnYtCEpADyUIe
a4fpYQm0MRm2vtCfTMlNHoqpI05MarIoqn6FzSnelkYGjqy2HY6XPmjkKnzsEkLPOdvbTUAj/WKW
EoMhxYbuTXcYpARBri5QF9WbMqFLkWKUckUYquUqkRJGI8UMynWCa7tF4BBS6iik6EG5k3WKpBAS
aEgiE9pIJUWSUMoluRRORAXLpJZiSvimq/RSYtHRWnwpuuRSfqG5BDSQlGQIE6LOxFKo8aVk45Q1
ntTMnZqA3yGvogvTVoS2cxMyL2tdHuknO9G+aJVhLilFXthgAY5h39Gz6wDbJ5oYUvWxMIN5rVoZ
8ye3HrxxKujAqZNXyP4PVZMcChXke2YPmxSis8eT8li7CtlvnRspi5ZWmV6PYX5R6vWTriSHeIBp
V+nZrQFWgMOQ89UEnKwH9mWejTCqw9ZO4OBPTJ8Mozeob7HCeD6y4coXKt2nSclg3TB7n7xNuOsy
H3Hcxw89okOusjn4Oo8YQny1KLABcyQppHhouXno0Vj0lUwM021YNR7A2GZphOOq09qlnU13wdiO
Syq6LBz8PXPRiSMIJUSXrRiypaNaQLGDLAJ2HAA15/+kH2YRYgK3sXZ6iSqbECw38ZzZ7DdTGPVL
dVQvbYvKwKSGID+VYNlUtd0zi+g98iH6KmKIslAz/VmMGgOUqbgZ7BF79TTgGM4be1GBE3Dhhi9w
Pbi0CtivmR98YywjhyBQteMJHhaWq84i4Dv1xHRUErZdM2WrQiOPgpXaXTvc+qpmBstcrVt6lRhd
cSQlqjIA3rGL5CJv2uL23/XjDS+qs+j+ZP2A1MU267clZfftv//r95AiP/TH8oGtRVZSuiwTFIXj
YvmwfLCTgDeqm79FCv/0tQBlZhcLXsuysNe9V8zecM0IW+Tlybvp6j+LxEvIycfFw5QLB4oZzbM0
jbwhQd9tyqqiMlsI/OG5otrc2VZv6GPLPmkwdbndgzcuMpV2A5DkrgRdC6FS0pMnyEr12nmjKg9C
EpZp493CETb8F5h8sboahjxV9giI9PFpxL6ow5wVJTibSR7RZF+ZYdl7WqePDBlma04jL21cBCXm
pLZB48ckaBTgqeYSNWJuZc/gvyKIF/Yb4yONLWVhjLAuGerXbkzfV8MaUA1pfQpMSQjpDHARqwB+
CvBh5iTqG0PEIkO8+ffW/+3W54Tws1s//0ERt87P/HnnQ28gyoqtTifaxCf9153Pl0JYPMEJjYAX
xxH5550PDYKtrqzAA7lr/wbi/WPjJDu6Mee5tNuwq6Jc759snCjb+3zvO3i6BCcG+jBt/Nnyz9/d
+82MsbSzOnGJxMW8mq1aSabKCStzqYy0C8+L2e9QrhQqTtOl08I1ISaaUcTQRcwcicWp6dHpIhVR
geVM2IHXwA0wCTl1LJ0rVFGdcOk8WCnbj5a42MPQUcuxnIHS0EqTAKktd41Za+XC7S0xXnWxjfDC
oTxY21aNbDPmDwALQBDSQ9JKT1bT9C0sGLVfUKORMZNUmrXfqbdxrh/rXMCqRR/0J/WaWD01GxoC
ROGXFL9k+7zyD8zC7idAbgBy8SOVZbbpyh0eHjJRAatGJOLIS2xKstORiWPkkH/pfKZ/AAMeMts9
ayqbhTQwFkrXJIuSxq8FnuqSiLxzUZPJ0eWSGnX9Y0s2c0Fn1z6LGDXD0Tg3RT6tB8EQTXQuhLW+
ahm7zuMyaclAgd2jbtoiyuOo+goQ6rQE50mBkNN/U8xxT5MERAlStl7ma9/GsSy8zmrWIIK3kUXK
LdPSQ+zopRfRTwctmPLeajiAXeq8PmKdnAvjRsG/VNmdvvYTn8E1dUY+PeI7HOCMN83iMtaL66oa
PDyz+wgxKRzZVvbyhGdTOd2lX8ypxGwW9svWwIySJtR/mmjPZXBh+tmqLh2aFRjZLEgfx5jSimTt
TDadOkZ7zBQcT0laA+kEWqsFwUOHQ46Mg0ubw8T0QBHBmccZIEe39bSqZWDfx4tKrR+CgsjsnFj7
adJu2mBcUfLdA5ul0DePr4O8P0SWsUzsqFsIMUc0h0zpogTCsK0TP/TU0T2zl7FXTmW8FqnWbDW8
mkBIiktLy9tNaODHMpI7TOT3WVxxkK1OSlgStXMTHcIOz1YnjekSyu4H21lKHHOnGk8qxoelzWa3
H9KbMbF2tKKg98g8ZugQrJiamE4cVQ/3ZUn20XBncPfD8JCzHi5jvX0Y/eFeM5tbs2HbCV5/k4fu
KW4sT4mJA1st5R+kAOkxGrzOTlD0Eg0iNdK10XY3SAfknmKNGfgU7ILGDLZVW113Yn4iTfpcWagI
Y0QhpRtHFR2CKBOm2t31ER4ALYGqXIjwQlGKC9V2X3JsjHCiKt3TC+2GDAfir3lbNupGMYrzgLyB
Hdy4kSPGpROq8DtG5RJE1REpX/Fog16PUUq23Gaeq00vWTCPWyoWt11fm7D8HNfLFSxWnDWKddvm
T3GOL3GSpOd0nJ29q05ULmkE0tS5PkQiWWfMx9e+Dp8D7rhYCAWxtplOmmaSHUWfLurqEtPiHTnJ
8AJoS7oS2viaRO41ZhN7IYzSJ3w3Uik0T9+HHo9h38Ox9QPd9EgLYKtsJKjXBl7pp90NPEpuHU6s
FAkqmATKaGJ2X1ieWYTbJBhfRNjmq1bk+WoULsax6qgp5mtCwhc8CWUDtazRsejTgYP3vaZfJyii
7QT7KX8r3gmrnS2reEo6edSach5nVGjo6jCUjrq5C+gqWMyyzEfT46MG0JcG+A2K6R4WOkFJf5+l
8S5s/z97Z7LcNpK17StCRWJGbkmCoyhqtuQNQpIlzPOcV/8/UP2utnv4Impfi47qsC2LoonMc96x
vg+i+rNb6oEot7qa6QtytOqhWgqEzJndSWBaJO6ac69ZioYoEPDdpXoooYOoWMqI3JFaooz0EXsp
KhoJN2ZPHp/kUmLUl9QdDEuxEXWNL9NSdTTReZT2vVjC/0uCbwzojjn6Zowf41KURNVp7BezdYqc
/GWaeUd1iQt07Axilsunr5o/syV7x8K1ENIoNKcuJksTq2lbvkvD+q4a8TnofBjQET5UUKTIWXVz
Y2cdRdsICLZ17t4MVJ5R9qczwY8aiefDNY7qO35UAhiii6JWcWtbS0jmoBkrRQ2Yy+W+iTxx6MsU
m3fgTQdrtO+NKniOXJJ1myz+yEd8qIE1IrlEtr9v0+HRLEjBxbmm0Cw3A3bdf6akrylp6bD+31PS
ffTadgCl/74hLF/1c04ivhCMn+Q0gzRCcmEYhv4CmEjNcgB28CaAnS8FLH+lkXzVtrAeUNltfS0C
f4nqiC9ECo8M7mt+4sv/lqjO/gJ+fwOYwGz5W9C92oxzjF+/z0ksDQLVKA4PQWYVu3TfrnRrfAJk
pxm11i5VhBWsVfGZUilk2TNrBNOE7ym93RCj/lH28RkE7YHJH1JRr7lETGy/LaIrUub3XtZvnS7w
c260ceS/cMqrUeOgN/WX1qZWLKZeCXU3MXD1a+QmZ5jDD4zg/ihNn1QKqES9OgOkvDsWp+gsUd61
JW7dOO/3SdXsGylPLQEipWFvFbQx1eMRsO0Aw1o+uuNwPRpRjy7KineRMl6zRmwNIZ4j6NCtGyDP
r+p83jV6FhJS5NEF7LRHe+o4yBitOkPbSxMnc5TcBwNmYRQypNpW023BDr5q6cFDlyvQ+VjixCpo
rJU3qo1WEPGo5e5FmtkPlq1qNxukCsZhynA1Bw+MD59ZRSSUKHjsizY5p+Smb+KQIgYEhhlFtq69
dqdyRtPt0Uk4HyO7KzYhvj/UdNoxh3wFTruNGhR3hSeP+qAhS7C7M1krD3XUY4mfbuMp1gggBsOa
83EnlIeln8QpYPpbMJx8ZXnyJUn0O4ZGDTF8CdiQmTnyQfNB5fELfdGbMSM+I/aIBTdjZFeogJJa
fC76vn2iJroD4n72o9ahSCYw0VtG36KE1x/ONDYoUIm1A3/bO6RJVYVp+czXH2WSHjQk7SM+AOyZ
YCmdTjFBzPcRU0s5MhncZQE2Oed3U4OFvaR7hqMVOjekxaYuSK3oZkLex4Svy0w6KvU8tXZ52V9o
Nvhm6wH/7m3PhTdxb+TVCwWLV4SxXTUxnLwW6iCCDlHillGgV6CignnRBHrpCIE3y2tGFfQttov3
m60zbONr0mNeAFhjNNCMMwjqNpNVoP/jhY4Ds4qeDftaFzeG0RJpMeb7VA9OTdgfYHofe23YlW1B
WkCJnJGoBiyjODXagSZMZ0QTlEUCQGp4VnVMcqPBiDTtyKlhRi4wGBROCZPKTzW7N2U9govK4d5L
s22Hrkldd8M50OLtLOQhnIqLbhc3xhDsafq4aL0jN8Oihl1ENT3MXF9GamOoBiUeRDQf0DigaCwK
VqxHvOX8pUVuE3PuGPl6XPRZuRg+qTGihj43Xd+olkeVWKsp4X4iacRNpp5WsDpZL90cO72wD5GO
DkGhC2tWBpPvyivktNPYuHx7MsljIN2BlmTP3DZsJOEUdceSgMltPlg/ehgkglHSH6U5PNeqfyfn
M/HLFpleaI43FC0RDRaTsTl3TudzHA0Uo/UF8gQUA92Js6feJF6FSGmqa0L5aIezC8RAW7OvHPtx
+Cp0iljI0OdQxhGOdUEGnztR/uT1SxGUV7CMsH+RdLi3PAo7Vo1J1sE1Urm5v/+zZGqUjWae+qkv
T6NdZNFzoyxjuKRdtS9DctSqBC6ntFJrG8foSyjTe9Wb8K4N6Aun1ORoWUW/bbRm2nmac7IBCDfs
sWQrZc57XZYtmhMHm1piPae4ftEdsyfoJHIezZIPc1qQgMIfp7LRLr9XgfUaJY2x6byEuVUxP1EN
TBxeKVZWAeovxFL11DXTmrSS88z4M8Uy2aaVdraK5lYL+lPuld+HePxUmrkeJ2bqVqfhIaxA/ltz
OkbzwSbFGeC/eo2RFDmURJHgY1Pp5+hUBXTjvTCS66BFz5PMRA0Zn0oX/C2h/ZkO+VMhWH7U0Zin
ZGPZDVXizV06cfSIiLIPmjyzUxa5Z5FmYiOncrE+HSLTbABEJ2dNNwiwj5FfO26qNiRqhb6gWNbg
xtyM6HI38dSflaCIwsY/wrtQkQGObKMtsSoAKnO2W9XGlbGLUoi9qQi0hy7dKDv8ZjSAtZ6VBJtI
g+/wUjnyzfHByFTuTSXpdJrIuDKJemRNncpLPlXkRJXjVeV1xsrzUGSGunsh2+WMvytfT1VwkcjC
KXvah3336shx9qnaup8zrfZVvrQ+Si4QOyFwqMeI3o/FtzIrj4nG/uP26rmnlBptHMaNtFPlCuOk
tm7K7qOV8pEDeiuq7CrNowWOMPdmUj7WA6WIsTuth1Ac6tG8GbzqTtrlW8xFx14rri0AaoI3g/VQ
WMEuUHqztkWDHnngSujoFDFs7MlRmh6kPXvkfRVr9ux619rxuCZP65LG/Q2TyLYwuqch1/fkCYG8
9wYfwN6a/FTkA5pCr95ISkF2WsjvuqjZNw6RgAi19J1j4KEjslcSVZNdwGCSled2R/bjBk25PLrt
9JihnfTnkkuQI4uSWhXutFFHUSadNTAfjVw8aYToGjeOjoxPa6tFBiYgugxqxAbSjlezWQdol82D
ZcU3FL88aZQobrXCK1Ycchxw9rhXucEjQTaR0QwKvZCZb5xyei/K8BtCjEtbuO/KMt8nR2zRnz+X
aUguYeWAB8SHIK+eRentYc7uR884mQm7Ic0la5FFRLOMr0tcW+8SXJuqY9jHtwpYYSU7cV9YyyFO
qThnfbT+Z+z+E5xkSv7fY/f1a/Vfhu6FOv1r6Cb+GwUSwiCiDCxSE34Zug2qwCCPQBjFEqiB1uKn
jcX7Axifwx33C/aSLy74Jzjp/aHbVBqSq7+QxcL9W12JpuCl/Q7ML14ZWF3IY/BOEil/H7qbus0t
m5KAS1W1ROkgHVs1EnaosudHPal3wcKjjXq9Car+TfQBxrqJrNrJOrV2kIGWaI9yqDfCns+2IuDG
Ju7LCEizE2F8cWghngOPgT7U18iuDb8mSiqd5Hk07asyL3deKPd9YiAUxRvqUbu4bsIiIWdsvHfs
st9iM/vQnIImQUlSx2CFZ9ehjkGjo2/l1bY/Gyy8+Ah3OY+GsAlurgzvya3MGwSdFxuSetU3xUAI
0pBRkDrvgonBd7blbZaE98RqrwsbuGW28cSGWSkgHKyPsQyTs1J99Vp0fJ/ZHnZKawiWpiEcnnPP
4iC2XNNI+bMxQuQei44EsOrYizBdZpMCw6srN2lUr+PMJuw7e+NJ3HQzL70a2l1fN6T8lLTSTIrl
3xUUU43pHn+vP4WdXNdttGmsTD9Qt3UyRRYfdbrAAzw8FL+Iah2kOEVSKork6NzXeuwQaNp0axxB
/BSysS5e5hyKEUihVMxTdmtnB7a/a4c0V7MounXbBd/b0HtINBKpYs3cW3PwgfqMM4op15NOvmmx
6hAXgQFWs6x9GQUtrGEuHvC4kLM12Qe0udPGCqs7WOg9OYHuOrKJfQtVW6/LuA3wzw+CiYG2siqR
2xiZp6+iePbrACzHDtP3Rkd4O9Q684imjDtZ6x4UTUrQK92ztMJHGw1KfjuMQqbIeIycQMGgODi9
Zu8hXMb1qHnpofLszeRaUDmWRZeY4Sa7rrSzet+0YRnce6OnHXUn+hFqJctikMqjqiKMnllzaOrw
ARsOqFxn7C2t6tboevw26m1/8BByDkV5Krzm3Lb5ZzlxT1hqRK4wPFctsn9A0KfeqCmJhxNYD0H1
jEdU+G6rrvpiuspzYa0bL7lVnUeje8kSO9pnQEAeCe2pG3WxtihDSwzoYCe0Li5seu8RDhgDB5PY
WDIAtDuQ+qvMIUFTyO674mZneHyUE7tWjvk3NGqQUYqE14lex36TlO02jgq6gtJzFGrrKQsjX0h5
LjK57xBerUdX+xEH8SMl1PU61MKICmLxw4yrpyH1Nho+2lVDpunr0Ni+pmsvg8U9N3be2ZwAkHSW
qVsntb4TLHJqdfeHq9oTkuprpYPGxcpi4LEvU1ka56LJd5nAt1C5zsmcmjVlRoKFL7pjRmAjiufv
hvuQar41e6cqjrdyoAUkiGLS2WldiQcM2l2a3RIpqgGYNi+V1t0ltNSBcqqbyCay0jE7xiKK6GN2
bc3ZqyVflNhkggYbsrGAC1dZJM+ulAQNphfowHVv8a9ukBw2uFO4S3P1XTpDt+3yZu2AJ9hw25mW
hOtuqK/6UR1kFb8RKkkxk65jFx4lspXkvsvsN8m+u+knWlKL2n0KNfrX9TzgIS4jZAyEyec1Z+FK
qmzatYUx53+mMf2jpDIQWv4fN+7H8Prjv925fNVfd+6SoIsqSpDVYJKEBJr1F9Clg1kJioY5Czzg
Jq7Dn3eu/MMmvAGSGoaaBswlmOHnnSv5++wv4RPQmP73zKOm+btw1KZfk3RS8n2Rp+Jg5VX8fuXS
aFWZdhDPl7i4MWeXqyPAxTTRozApY1yJmYYuaRRXnsruvNl6m6tMW7sQOwR0M2XSno7Nu5PHNpUX
UwAZT5rzRn3vOevlk1L1ozkWn2TTbWvNqVYxmVNZRamD1zrGGhh2J4z8iig8QviCQa5ShWtAMC1n
yGoZhNMnB3XT1kRxDJBSY6sMaH4z7Oc042M+qzd6hDFMspuMdf+Yxt1NI63rGP3+jmyY+zydKHWc
wmswqmM5DtVq1tqT7mE/mUgiz6eSn1mxHZur2usPvRdtUYoHJHUW2yLSvvUVVgvudJKUrpHzbpVF
dSMZBYGPcIXAtrHfQLVsa29ZiYhRoG/lB+TWpU11h6rher5XQHrxEJBbXrVrVU/cf4kZc3Fb6AwK
LaFH0X7JFf13zhi4SG5EdnTLWG7qESBRm4KlwJg9bFw8o0uB38xkMkq1MnU4DOI52eDsJ/gFIt1D
GBwMDz2X9qq3S2jMyQGRetTHEck8cQ41/YZ1JyidTrqhwdUaJlw3UZhZm6DEzcnidIVvyk/beSey
aa/GwfF7sktXSRjuJmENa1cF2PQJuLRclAwk335UiX3ORCtXZJl9VxbTGslsGDeC/rEriu8x0Z+B
TQhwxupmUajR97Seugn2mmJPdYDmR2lls5UNZynof08xKUaR+DZbzjGvcI3m9vxa63b9aOVEduYW
N/ywGqvxgIpiNyVJABcaAB/GwZ4gMIoSa/M001S9khqJl7NGyYzKvSdtIArWqbXtKA0CpAdYZbgo
LxgPSgJBirJykIAVBHtolDLW1S6OI3clXLR8RgBUQnyiRjxS0/RPCodVZhufpcl7xgH/LDwszUH6
SBLnS5g3N1MEBzF1Hlylem6bZa2HVMIY6a4znIHF1B3znjZUI1HPA6gdEM1rN8e+axsnuLuNHlcv
4L/dJjCxPKYCE1PWZA9cF48RguVV1VstLy09EQbtVwomvXNfarRyq6Z3zg0KQxVZO2EG33Syfndi
JqO477/bXnhHMcPW1YsL+YeXqRKSZ0wZkMgw3LVTXKl0uDbMcJsWP9IF0sOp4bdjsCvjUaxkZsFG
2vNNTIS9JwJ+ha5Nvnf7rPp2WqM6fM2DoGCXTru1aC363kIDGm5+cBRDw1RmwKWN+0ByzIkszxfl
RedMTremoe0YzQoKVOWPYIGNJYCz49a0zuV8AIMl/nXyg8T4sBOQi3jQH/gYP7sdyhk9KK+72Llt
pflDqrnxE228KQN0f3mrW2v4PypRg8JeZU4EyNg1Ok0RU3Yzp/IuJQ9ksRhRnTjQxpbPOhkujnyb
gu41zeqbQG8g7V072LSjgD6fa8lYY58qr7VulOntqFeI0CEOdXJfFfp7MJugd6l6VGV5ZarwTcf9
1Wf9vM8DqfldalxHqDxXbRW1JOZizSMJ5KOsXOX3ZGWQSlItqco1FzuQ1cqRLvCrTUVMYDVXrM7g
7vox7vVDFHV3DQ5CMmjNg6Os66nXTmXOTxmn9abqQJFspVlUeYabJMp7nLXW5p8l+2vJtv7PJfu+
zF7/mwZo+aq/rnz9D/RrOuJoEhBtZDu/XPnGHxbklumSWmhCK/FbP69874/ljwJfmSjc8SKxgf+8
8r0/GAGgMFEgG2zIxE/8jVQn3Vt8E79xW6zZtFkyVxikT5Bc8fudb3l50gBWzRevC5sbN4FQiPXK
fSahxzjOY0rhpg6x7XWDOI80IK0GNUQbuCP15Mqxu49Eme2UwujuyDLwXa1r/AKZGmoLcZ0tU+5g
6sGVbcvm1pw6vn7wKBvs2T3oxa2mvQYzMxmqXrVdRKpKZabvcSCKXVIwQKMVQXBStdP3PIrCY1kv
eQOUmW6MQsDue14FazU/SQNr+FJZFeTusYdopDVLG08F6hK/oXSaA1gG7BzikmKVh51Atisd0qmi
2N6bjkGMvqSgZCVIwwe4TBKMiPpo3XZFvqmVCkHxq5doCgMcmsM6Tqtjwv6KubFID4aSFKdYrnET
6uGzSGceSrPZWlVxa5e18FnBtV3nhOqowt48cp+5fmZmJ51+kQNtmXJDHaW1S7PC8gdmmr2jcyEB
jKfHOkduE5TDrWrYvKqMdF82TLXSbBvfqFeCcsrrxOTKGmbeHY2Wv7t4pEcnj3X90rbESc3uWB3q
qD32RvK9rtyJoHEC/8F+El8HGIjCmuJhDq3IB09sNtmCIARACYmlMSCBLUyADPkX2rDgDjhkkvME
FKGlYBLEeZase+AUaB2JrwjvHdO9zV30Uek07QygDSMZO4lHHryjAfhgqb4pAUJE2HIBAo1UQCQI
k+mFBjQJFvSEInPyzRdEhb4YVDhFfmoBW+wFdWmBX4aIxb0FNl5uQ2vFNntxAWsKQJsB8CYBxKkA
c6IF1VELvuMEzs0cJFsF8JOrmAoIoCBJMgg7PeAQPEcFWOSZNs5m4CMn6PkdAKXcaN7MBWGSQE2M
Xjvuu0cyjbA5BRWysgWXQuHGAlWnNooiRv7+3fJUs9ZN4jy2QTldyZFeAt/N4/RKd2qw834Gz0am
bW5cvZmuQhy8h38O4z8RT9al/71/XZrXIvzg4P1yt/wiRearfh7GOgLKRVvJmepZX7WGf+1fOvDl
EoPKquVhbXJ+wTzNPwjncdAh05dCsI79y2Fs/mF6jsP/+GttoFLjbx3GiyD0t8MY7BT0lFghQvsI
mfW4EX4VZNYOrT+jKwL8BDr0kcpSiUJYBidtqsWpcFu4Kk3M/XcriY5xML94oa7WlZu8mwM9yATw
jS5RZSSA+LUpEnLF6sqfkhjcAAln+UQAHp3R9L604RLSAlwJWWgwQZvNq0Up9kfXi6DZGoXNdtAC
yhQw7gXD6jZC8Vn7XdYacp011rCtm4TiA9R9EjSIo3hhN8FOKjjtxJ6WDpXmU6OulgGLB82OA+Il
DCY6OEOcKmjoNBPsjdIJFAJziJi0IdSdPIZKlQC4ApRzvNVNdRUNcokJvbLK7KCH0WHC8ws1DT9L
CoG9Ltuh3xitFV1VlrMTlXaTMIDdVYF36qqIzSJkJwzxG18VbdmsDW1M/dlJUCdWWrJx6/4yde1F
SydvNRKMsprJOGBgG/0IPatkTuwoW4rNuflMze4+zsQ9oHpu44PuihutTtXZtNCr1dUWGiR6LikO
djvaJdsgJ/6c+DWzjD4B0JK1UWHGN0oPD37P6mbm95pjj9vKY1R3axoNGnAphHFyX1Fyw5E4rQLl
OhtDL6LLEJJAGFckCpqIPrtJg2YcMUmQcYfitlmZsueCMMCyY+2sK3M7ODqigb6yHlupk/xAygHs
nrcF8I5XbN3rqVcN5h63erGDHmBb1wCL6XQM23U7E/b0y6N48+c88avh+T/cmzxwyHAcAFrQD4iF
3z/YNC6PIpVtcm2IqNqa2Wi80tHsrUei1/5/nPo/+NPief3f599N9vr+0fyX84+v+nn+EV0mcGvT
8fcVT7YMe7/gT3iTAZ8cbBpf7M1fwyixpGSqLwp2PGH44vmqfw2jrg7rIxaLJvY/Ts2/MYziXPi3
8w8Ayl4i6Rcjn7HEbP/+MRnmEVTXcsdLRwfZ2urSb+Uw37nlMPiZDC+5XifvPGLFKp7NBxSKIBmm
BpLujp9ahGbJIZdKmRoJHl7tEydI0IoLqRw3wVsTQgFMmUuYZ1/cWTILQYXKYDcOwdnLEYciJ3rr
zfjeGdS3CLSd8BJUkUZlracyQq7iVkdzufFzd5FbymKrMuOe77UZO71fNWgRUXTOOo0mREwFyjl3
qXzE1w4Mm4Y/ktY7W+Q1CGu6RGG7L102dbbhWyMSYmt5JoJma7iZDMJ88BQ4K9dAhURtw7K0rsDO
1mbdc6BbhGuMlb7XabHayo7qQIAuz++xbvlmGuwcJNar0sw5NCvroZEUVM1y05um36PnXRHRGK/j
fD4onaK6rog8YpXUky1/EM+5aYxpYRSO7tA990JRopvQl2SZMemWM2CbM/QkxEzzxyDKw6C7W9fU
aF4S0VOoc8jTs0hSEvEhRF6AeC0MgkublHu9cCBh2TyVmv3W93TAlynZKKgVTBdGST/0QXqLEgYh
ke3cebxDQQyjrZXNdsyy68aSaCrEWzop9BDUFUP760tc2fiYG9ZLQjgAZyszOAT+tup1wuwn90Q8
44OWkUHjKPEUD0m2GovkpMzgsZqaa9K1TmGTylWbZR+WFn2fBu2hMolfiqa7Tjpb4WjPvZa8o/4G
8rPnYd1UhF6qJSDIaOtPd57vRa/F2HjkmX+mqzFxCf7AemB9EmzkBwY/ztirbeVSe2tY8X1JAp6T
MLSL0N2pxLVXTVF+NwvnxSQxcl3M06vVIyPhQw6FEmI3HbrySh+yHwGfSNlAxVsGxTuZw4Yz70un
+zFo1hIEaT7YMDQhRz9+jfpGF2OHxnuYUHUAHDTanGy0qPcQAHiLWyF9SjreJAXiuLLBkFZWbtx1
TuXLKqeLJ2+kT2lKdQzoHrk2+vJpal+y+mDyzL3kjPHl4jONQm4U1VlIsOfodh4beQhSVEglYoUd
VkVcg/1o4bnVE5wDEViEVn1C3LELMFF34CRRkMx+l6e1ehy+AEobqSTQYRik1n0RmMB9hLk8xVZS
+hYAp5BsPgGQ51RYYJ8LCMqiRtK/3OFKAB/VPW/TjU12JA7F9XPaZ7DMmi/lYCfUafC4ZREf6WLs
qJKE9YltipVQSG5CT073XgUcWxLeNUXqx3L3UpDmbWIAXQGw26c5Y8FEwmDheNEGhT1RJ+71hCiJ
7EEqXrxvMTBx5NnBCjcZas7uEAMkN0QXZQDLWdxvqwVMVEDO7A0MXoDQVlSE1xmwdGo597y7+q4G
sG4TQEMA7EVk05ho6MJgfGsd66kszedcuLhhAb8TRIirmt10iVJ7sml4hlGFRiIx6npc0PNiwdHT
KLsSAOv8qoEdIKFFubPhq0DfjZrodTP9nIHlq8R9qur4zGD31rRUzwhkmQ5AvtMvMqk6MlcmGDRy
GJg7EehvYkruPIgA/vFgBBJ29C51H/NhGHlCzI7eSi/yycvZOAvwBN+Adw0squx4mGYePReUqo2M
QxsCW8XgV1hdwHD1owDXwsl7RdEf5TcL5JWNTkS3Zi4RV+bsvy4+XSvXlR+AlmmR6ralrJNt1yN6
rSpxXSzg2rDAbAZ4mwqDV23OryJwOG0B5PRpftcWiG7GEr1uRuLxWgtyeUYY74b1+0gcyEpbqGwQ
tMfYc044Qd5jBRlCPVj+ANe61wrjkSa0fB1U/GtkbrAFY0afGDBeOePBzatgEzg9FaTcDlWH0n2E
fswzPmsEmzG2ZSIkl7oR+gxol4WFzzrSUjPVtfK7kRPBe/5nI/zaCBel9v81EfX5a/ufE9HyVb9O
RPRZmtZXfIHj/c7I4T9FfSAIUEfh/S94Dn25xW/pMGS02/y5R/6ciCDrcPjDoRnUlH1Fvf6dichd
BuPf4DmAIxIPeBXsmOS4/9vgbEVhgaN01i82vop0j0/bgJ6q03MSZGtLtbdepL6xbfA8d9luDOU3
LY7aVY5g1YbYl0EG0cYR07AN+WbZ3DpDSRGtOPXkVzv5dDCndqP6vZ1oL2UYcuhzioUXPZHhGa2E
t3Zs5gdXJwUpBXxhdVM/IJ9QnPfATrQFvmCGJVHc1LqtNXYvqsz3I6zBxrSHG2gL069p1uX3xUkN
+DvoJz6j5nd4kLOnQutnmi3FR1y1n6Myfnga4W9ln0ZrRpH73Js4wiZinWftGxpStiK1yFfRfA5K
XhfOPJ80K6WSnecIwaQCl+FCYPrl/7Sf7DUWf5BC6EHfUP1l4LqK8ckHlrHJo6YmAst8F+kzJEbU
OmrVEhphk1vvLM0+gds1G47Q2VrbKc1orMsmpH6Fp5YIQfTUr3psBYMfTwRJ0GQcYY8p0j2GyhpG
TetXnTVVPss0tKmQS2SWl20hX9KDaQwNmFTckGEQjt0tWalIbFXW3A6lmWBHpEiGc4W3ipCFVduw
lEZ1QkFXgRstrxHdqYaVvScYwGosb4Uglnjs5YqdJLnvgQxs4hHH+RZTtUVFXyI2yTiso9Ipj5Ls
sRX3a3wObJFsRtm3IICDu5saVnCCw9Bc1mjxMW2ZwU5P+09Dlt6ujup+XadBuNcd7W3o+OejU7b2
MVXhcazZHmMidveA3R9SK20S2cfRJxAUikxah0z07bq0k+zGM1Eh6W2BH1mD4pLE7u9osKdObWjt
Hb7TDywQcod9D3t0o2U3rirDI+8c10cwFq8e0mgk07HYB2JxFggcSwVAIARolzYb3UX6nmPBfqtm
iqBKEthXrY0OovO05jQiTD2FY9/sZET8MEWG5q7CeYmZILJWQWt/YmCz6OGMcABY5o69mlguoXIC
eGXFHOV51psAyIPOxL495hjNIPgcYjCsAdHuqGu8ysJBko5TkmcuPDYoWPajSovOj+j7E/5kehNy
EsQcnxmW0L2HK/22XETZuNLaUxcoQZgrE0UjpodM00PydDN7VZgyJXu4fiKjP1wLFSx49ViiB5pI
921f0JR+y0qE+oEnQS5y+LEhJw0iES4urTl50ovyJqnb+PssCag0ojAiVtPDZVgRPqf627ggm9R2
sKBTnlsfZO98RNnwHTBoO4YerQJS+xyTbjFNxi+kjx/JLH6enNHd4e/CX5A3yyEiz7wVhz6VnyXP
qbagCl3uPQjPvqn16FjptrsqmvLaFda74chvQ6ZNG0DQm0413sFrmn2p2vtWycc6cgJfdMwzdd+Q
WTLHK6RB8840IK+pCIf3pqVuBKtovOguFLhm3ZCof6wZ9clGTw4XTB1TYezjMjqmbnDxzPGsTWa9
OG88nhQ8coRvMNLEGU2L5M2+JR4MtZN2yT40BzIhrd4k809aR4dWKxwv6M4tO3+Trc2ZJfqCtL36
phy1e3j1xWKXxseQQFGYTaw/6Tx6vCQmvlmjvZLh0gHIH8PbnKwz2GZCVvvl4VEiYO1avmlXIRhP
gljuBPbkuyxsqo1nEMrKCdPv2gT3iGZPcldZ+uyrhMUNO3XGCePOu6mfEz9oY5OwytzypUrwTDb2
J8Ca2qSWOuAlvMAcn3IzuaLcJ/fNURg7c8Q4aYoq2KbUAm8j1xa7DKXwxiJKZG84k71JoOPjKFNE
Q8bGzjCX8oiEVxvlPLXGiKopK+hcBnJcwug5pQR9Ebux4Ce1m8FeitbDVY8HZacl4OZJzlJbh3RL
FDlSO46pfvXPqPM16iypRv971Hn4iF7z1/8cdZav+mvUwWUHQm3DNhLixDb0C/izuOzgJ5fGPuOL
U/wJ/iyjjm0Q+4T5DsDTXqagf406TOAIhgCrFyKSOvC/MerQOvYfow6olL58LxprnC9p8a/gN2gN
glJexmVAMtRuEtN8JI1tnxSFBm8e+npngfwusvxg6A/TCNZS5obj64M8djbNmQQc69swmR88rax3
fcK6UOgxGiEn95O+eg+NiX4HUjBQ0hAG3msbU+ufWuJr7uacmkKncYIrChidQzK5G6c2iMN3h+ZM
ugPdH6ERbSdXf+sYLQQ7yh417TUZrEtA+XIF47O4m/XpFm2/c1tXOQavdPQ2IitAhzy0BVR8E67Z
Y/ybZSVXOa/Km9JtEvYaZRLoiJLlSiFO4YdeEAqyaZctuisoPnaWSSCsSHbqTKz6aVDol8BAGDz1
Bb9GTdze1TN9VfHt1XKgNa7gaFsOObUcd425uA84AdlVLgkn4sTJ2DX5YhEwXrvl0HSW47PsBhuv
AK2vZAamTnkaNJRXjQPOFuf1vFMRoHLDiez1yLKar0Pa0x4rTm3J6Y0Nki6gWt2QnTxvTE54s3bf
S058NDtLGHV0pEvtxu6Ch3DgchjHZjNwWzTcGoLbw25Z443lQmEwcHdVVj4nY3Z0uHOm5fKZuYWm
5TrqO1S73E82/VTVcmHpaLG4F7jECoe3hZO1QunILRdDp6zS5eYzuAI9rsJ0uRPH5XbMCnvyYZ9H
P1/uTtW2/4+9M2mKI1vT9F8p673L3I/Pbd29CPeYgCAIZrRxA4F8nmf/9f0cdMmUdJWqSrNa1CKt
NpUXAQGEn/MN7/u8DxaXqWPhpmPSsk5DgAJzGEckFtb3pbyDc3kbT44V+i0XNMhSD1YpFqt4ULt1
saAXtggoAVvaX1XSk6VKdxaxtQCfukf2lq/MdYxNoGuvlXR0RdLbVQRiFUi3V1jYw8aSDrClhvWd
8nbd9tA7YfZLq1gsXWOVoe/JY3a3IXt7T3dKHgRMZjNmMyNtX3TpPnMDsC9a0gI6syirC+wZ1DK5
x7NfYbTGwUY7y5EN2N/GGIqDiGeEuGiCeqT3LQA6oUs33IgtjnB7Fyv1dNQxzAmMcxEGOit19gqG
ul7s89wPxoPL12yN7qaS3jsLE16aWw+2mx9xRzJ305PZDzDspZrmqdLAV3SPtnT0lSB0gBhUDJxs
t/FKF7FalxSbMq0OQnDrKfkdXPZ9WocXXc50SsM8GIv5SmAmZFhG0rX0FzYTsdeZWM4Awj9FeBFN
CzOkpY72PqntC+HmlzG+xUwaGB1pZSzTdGHNjL0xjDA64naM9z3eR4EHUsMLmUlTpCPtkRY+SZrA
h55QYgKbjC0JFK4/SVMlvG3TJ66T1ZW0XCp9tw2NHN2StUweM4fr0QoeFmnUrCsMwwvezUWaOHHB
ELRLanaFxzNYmrdamj7FQqNWu4JMDQyhIIvTlcuv1Rtwiwpco93INatLIyliZMNPB6I0UlymJm5T
A9dpHKFQm6QRNcORSpn6tOBQDfCHeo00rdIdKqsUHyt0mSfY8tIvWJyEtLpqeF4tt4eOjgm2LpyA
AedwavDHBvhkh6g9qO/G2co5i6WVNrDzU4a3drJj5SzCbRtL263aTWcWPlwI5lhPJ/h38C4zzypY
uGXSuLuo0WGRVl4E0pMPCP9ruAS3dYVWYNYENby0AE9R8tpU5jEsMQer0iYs+2OvkNbhEdLyrsNN
bEu/01Ivp1kajZmkYcBww5tJj9e99CLjSXbdfECC0Zyx1WUAr0WhV0sLsz5ahJpbpbkJ8vmR1nPT
hepzDZYOEQIWaLSVl1af3wm80Ytd8qkiXhuDsWlwTw+lcx7jpk6Y1OxguabeuFjxivXIdra1L4wY
D2bImT3hyrZwZ9da84al9tDh2l5wd9rSxt3Ovcfi46lExh+kWBUnHN9Bqu5sHOBqSBc98CZQOY+k
RdyOUZOa0jY+zfZthY98AaaQdhyUsW6VDLrsHQ83JDzc55qOVXZq3WMDr3orcKhnvG9XTsaU2JbO
qkFAvEOH05iM3SyaK+SA4TN3Z7Mu46in65vLtarr1tFxFARtaBC3Tds8xql2Y9LVeIhe7jS7e6KW
C+DAOBOiHTzVmV1pnCAa3nLnRYe3sG3cZsPre2mSusR7Xb62wZIxKSTuhEZ6uST6wMS4U19x5x1G
g4+NVXTewa5eoUb19Eop127evwZSC6La9SsEwmOSkEQVKEHKqD84aJXVo9KckemW7uDDsqOLS3r2
wh0nWOCYl5FNSHVVxdjM43JT9uFuRvaKDeKFpREdnFLczCWkjVhJPrPe+SJNOnqU51sCp7bUERJ/
NNxoZqV5aGrtMxLW98jpuIoLg7wpSiOsQ8uMPVhrj+5i+CFZ96malp6Tj0foLdmqVcILlcElyuHq
q6MUmDMN92kkVX2t1LnJV7Ke08gkvztUHtW6D04kux04zSGBHYwh2kaxYbJV6XEIqiyU6ssyg0lp
AfhQpRQ3rodlrWpuHV38U0d/GxlSwP51HX0dD28A9l9/oSORle9HKa0Znwzgt6BPVYPZHNvujzUq
ChOUfoLJICIOPHLsSj80fcYnlXqZ2htLmyFlHn9W0vonA6yXA+sWBcrfraTfc4i/nxlSi1uMDOHm
WRbztJ/jsCNRDGT+6PCwyhrJ14WSKXPE02eobY6F2EjSo9sLPSU6JGB1CQR+2WiwlWwG/OA5HWYO
x76sFcqkSdmbZqEfegY2/ija4hzxan7Drm489pNRXRRxV37pwm48E/mY3hjaSChdmZBc1E32WyBi
HFqGE2y0pOEgtuuu/MzCE62xMjBxb8ZqxSp2mwpt9BcKshdi+LSvih4v16K14t5zIYOuilnLuA1c
9ApW7U8iEawAE5KEIsCZed4Ht4KZ3XVfKVl0oyZmGrbAfbR62WOoQqNO/evojBrsIhR8w14deqTI
yIGayKdRL+dn01a58hrNQdoMdRUN/GIN6qVlVck6N+M6uVOSxZSq+NS2AWki5SIXQQeCYw6k/gLJ
wVY75N16YZrr2wvq62o+c7qq9nH8R746NK55PkidTfAuucml+gbAIUIcpZainDkudH07a22yn4l0
cf2StgSAyGDvhNT2lIh8uiRjjGIF+nIwk7rbO7UTD9dLgjdrxv+76F7EG3M85G42F8o3Ccc/sgr9
9/ya5+I/Vm/ybfzv3bX8zI8jAWkFzxvrANy08snntPg4E8DbWPAGaJIxtL3jjv84E0iFA2oj1D+W
BX8019YniDgSfGnBPIcU+PdQf/a/NdeuMDWVM0HqylhPyI9/j/rrZ9PER6eAZ6VxyFjfS0pBkVkE
OMiUq9Sed0pL7hUK8ZPKOgJqHPjLkXCscSYlC5cIzGTgY2iQEo9hAuJTmapVy3ytmKAtzor7kuCt
Sq0PM08D0iXngi64WRslItaKZp7Qrlymd1H8XvMQ155JsBc6JW+wSfoKdPXkqpSgo0PyS5M0D+pk
f53AgWySsbrJRXJna3INm7Jz7BVk8rlbPxp91fsIlv08BRKWhBWctFLZkDzbI2lqtmOqEGQBWWLV
9vlZBC4DmERQUj+SSKP4wWR8rrJBmU/MyJ1hk03aSA1dSj4svGi1wscDxMZ3IXGgCnM3lYTMDhI3
KyR4tp719SBRtKlk0ko4rUutlktcba8mrx38WkbVLjlxjrnSu8tsuBNtabPHBnjL+J1dIwxcW8Jw
Nai4icTjTi7YZ9JbiG4tB9SobXtWq8VLLeBY+OA0AAGgR9CYuuWGONVpmLKcsEG9zOmtGuHYsdmq
tBMbyUk1HgujvGeuUCKsm8oLtQBtptjuurCxaIXVvsjKy1Zrtzl61cy1zyYzeORqY1ue6vO+tJJN
XxjqXmMDTkpSOxPZM5HRZtEtqhkHDq/nwQm7+GxAsrEGcDauHC1QZG5dfgTffosgBHNVZQP5JS7J
eA9O6mSGEkhmkm2a92glbXQOi5hPagspRrVatjxSaNFU6k2IRiaQGU1Lox9rQpsUYqVqQpzMxN6T
W7hNh34XyZSngbinzsmPkwvOZRIzMbKDZ+T85bllosTsCQNMHkySoyjstyNJUjAJUa2QLTWRMVWB
wGzInGrInoo7FDYyjIoDt/IsGVBF/7adhpHIKg023USKlSXjrPiTJ3BjkreEofTQ8NqUOTTXNCZk
xpKHhY16q5OPJRpWMzIwq+uzA1vp61xGac0yVEtXjJu4H18KpYX9c9v0tMmYX05hlPgVA+CiWs7I
QrxX3WT0E3K7WvK7QPuxBGCZFrfp51xGfCk2c2YZ+qWT/hXJGDBNBoLVJIO5gUZdn3PFWguWuuHI
oOZBiPG8bBW/JFsMmhazAxVGrEwdC6PjqBkPdTNeRKZ2n8l4MlXMm1oGlsWpchmQYJbkxWUvI82Y
Pr0MTCiYKQcXrow9w9F+nmX8M3rTUQajjU2+d0hKG7rinH+5kGek61jbzA4wrUxWI/uFMvo9by1S
ZfYaMMinBB52YSZMz2Q+m9LuCJ97asltG91hjdl7m+jO545yOe+BUJYkveGD8zqS35qwepxlFJzI
yYkcDevCISXO0erM1wgWwvCrP8YkyY1t42UyWq50jJNO1hxjzpOQ4XPzMhxMGUc3kUsXFKwn3Kba
RSTWwXl6SER6EartnV3gv80S9boj405U2SFixp6q/UOaGzeNDMPLScUzcumGbA5QOI906P0+nKm6
EpL0MlGf0/Nf8yY5K2XUXtR0xzbAWC5D+Hooormoffxb2WZoVWSYI+G92rnCzH5Vj8reINFPJdmv
a+p9TtLfOCCMWdKLCcRvly2nbkjRlub1QScjcKp4yzrM/PI2u8Ng8TklydeozX1HumBrYAUgbVDT
o/uB9EGTFELq34ylULAZTOKHBuclJa9Qk8GFCwmGgYBASKJhIaMNWzIOozI9h0XzeSL7EHUdEFCq
Iw0HhJdYJO8O8aYgL5HQzvPYdr7+061861ZQiP91t3LzXps0xXPzGv/KhyT15R/1CS2LpktJgouO
/b2e+KM+oWdh7I++QJXTfFulqvnoWUw+QhHiIsy0oH1IEsjH9F//5NgUFCg20Yba1t8rUDRBffSD
0IEkJOocC/2nkLYnVX78uwLFnUylcnn7XSop5CJT1tIOgeB7S9bXw3up3dVdAwtsVijBMdZRjgdj
3SZ3BMbinX0v2AtZuxcMlQA0gTweTtN7ed9/q/XDCWSWYEw2wDZY1d+6Ap3EBKhR7+0CjUlD79C9
NxIO5CbOHmz7sGkwTsFqW5LbvOQONzDuCS9L1fmGASKIfJEk0aaqMrTjaOR3wPCRm5m9fV9oA2IA
DuvhvsLJiAHfrBgZGAyLM09p68JL9cq50tOhQgdYJ0+KWZk7AmRAEKP9C45M8kNnhdSN0U+LMRn8
L6Akz4mtwHNLAXVWzT32ej0pUnZ+aVvFcM1WJFo3fQrtNLaLYdcrgQm2rnaYgueEpDFnLRduq96a
VrYTmzaQhsy+RkHH7HHp8niXNfbyJRcKHM3QmNvCm1UuQXLhXTPBA2boPWGozqB3W7PhD8I0CqLp
E8GSmsYyH12EkWh9VKxpy+ik6IpwjbH3GPVlcXduyN57PVdNuLXVbjm1zZB8RlHbnly7tQHtWhrK
ezT9t/lYXbp6W2HiVPhtXhVKOKjrsJXm4DAo+3ofCa1nuxuL5CnFnHA7uVgsKY16PEIjZK1sp+pF
Z68UpwqSPRO5ZDrL7dgY36zRCd9ccp63MNYDwkCjkvQ7l0i7VmlZ8SpkQaVO3D5GulY1x1pRXK6o
7p995bcEAMnr+f3J5cdv4a+aKj7xj0PL+qQ6tC3/AgpJ8sFHU8WhhchKhkGZSKP078Cguv4JlIFs
t/7stz4OLYGvktkLDhtWnX+3q8Jx+dOhJbeeWDRxb6IHw5QpP/7doRXz1IPs6vQD0V+IFUyiU0KY
/ZaZnuUxb16wBsNio/QhclcQ1VrMy02P0DpE+XmhAztn+Fd4egfwRK0/J3amaVd4/aEVJQNO5FU7
FO4xLzt4WXqfxfu6m8UtiFLF3Gut2ijsCJTumAd6cJbOFjsokTLjv4lt7NnnHFdZ+8UtQms8NHrV
mCfase1gFdkbfj90VkXMSLc30KtvVTlDcN/HCV09d3sjYw+H7Bzd5DqQhqPFsLF323WkngtpSGrq
OgHrTJL3Oprc2mvqplv36hyfm91sXATBUlHjuIH73LfAIldGHaBDtQ0qUhwf/VUkzGfSvD4Trvkl
sageyYLIPRiEb1WXv2El1VCu57XxOnZEAatEidbhuC8W1dx0INA+j7AgVoNQ49gb016DDDSiNqEe
fdCUmNDudAy+TDG5r61eiH3EvPdCSYWkTjbo0et+YjRU1VtDkmdAnXVE5RSIaRyEPugtUJczYeaP
W/kWLhX2kgH4+/zc6d3SM4PGPtBOL/vUQKgUC5cO0422dlznqwY86UqfnQRnEpYcu0j9ynHfHCNS
ts6w7DKNYpAJ0HYOUGkrbZ4ieIaS3RrToxGRK5GOy7Diut2WmkvkZjd5XdSMlyneWQ+j6OS5mTn5
Dflc60SpxBGwU3qD8Uu/LiyreEtUo4F8GhcPyWAgco7r12IekvN/6q33esv4rcXmpu+6X1ls5Gd9
HFkMewyqCaF/q7JAsvxxZPEhFyami1lQw4Uo3X0fdZa02AhNHmTYwN+DHf6os4iDYJ7LTJTySwo3
/pbFEKTMT0cWlRwiEHooA0gbY01e3/dH1iDAFNaKOx9NqTlWlaxYtwyGU/p9J6jPHTWZ4JYNJgmy
ZlBUh3Hsb9Tc3JpOSp3PLhs9kGpeTAUrUsoogGKwHQwmmV426+1GaB00r3IsdxPgjJMwGCJZRqec
04mRC5WUjy7WE08x1S9FjbRRi5ZTHpdkAY1l5ivVkK300D4uTA28ogTTFVZ26sXluKw0h6aij+Ev
Frk4pbqS7YcccX4emGu1icydYk/YDfWg3aNcLBwGDoXpxVV6TQLM25jWNyVMkypHddBg70DkoUxn
ocuScunc6qj21meGt8C++CqBlh4Y/o9YLhBiTEXGmts9qAa/Gp2uiHCMk5oSeNxXd25SnyO5/awq
CAWrnBe7jGwsneTCMFnMofc+LJXzurh4edB/1p4jBlKwYaTBaKs99sb0fQy5XBF8SSO9XZlOiXW4
xUpfHwpRPSZoL1Y2SHsZTg+13ZxfllhcanHDf0CzjIG2eGqi185VqzvKvEV5N6+qSHqHVJSfdVNC
cmyYppRbAdRNdcetAHrZa+6GtOO3xXHitWkPBLeaiO6b95CNmdVn31bMT5izN85YUbW55WoUxgOh
8IdeQeJbG9V6YNPrt/NbYFtrIeCUiSCUB/vX3g6JR0jNwke2U240tSMqJBNXQTNjbrKwkFRJBZt5
eXZq5Msae0Qs/KXlNQaWFIi++0F090lSnno1p5i3sMLLGIal3pjoDb1IL7a9ZlHghw+4VRAO5C2W
Hvbqg4L91YGuybIfP0achqRdzaQv2FkREw/SYpUIg24d1+49RSFihbDGhmSdB6PT+DPLYL8z42fQ
A5K2VT7bE6zVdiJ5u1WCZRd0pYHnK03XVUhWaC6A2eFHquAdhwaL/fDGDmzeU6UudiLPDx3rbq8v
8BoFBNHjK2EuAdWBQI/xhDuMiAA9WBVTTlp3a13kltix2gE7E7rHqWhbHPns0u1II3ddbVdWxcVo
jqwvCf8+luxnwJ+SMD6mX/qkf0hyHfHreJUYgLO1MH+jFUSkFHIxjc4l4yt1nTjMtYKW1Axi0q70
Sn8lMwEYeRXt9Gx+GRP3chLFDTnQiZebC9afTqUkNsONYybJppIA2C6wntqyPomQvVKSpG/JMtS7
WQTbpWeJKjLF4kYDV+CG0vgUMhMK42wNHPGhGMsH9i6YgAfjuVGTzwX7dv78JUpUglpWccm2qXTu
k0Yh6n44c9xcXauTubYiLEnIiCE0E2mCjZDyQnmiWtnaSXlRNqi9RhuoP2qMx24B6ZCGursbKlYp
be6iSgcRt6pb1ziKtHQUvwZb/PrPtfjtWmRd8JtivizKX4kPJT/sj2tRfGJKYJjYgKVPXg4SPip5
Qb2O7R1itv6xTf24FqGNclE52O819q2m/IIflTwYFFsXfC0JKmXP+reuRW7hH65Fx1SZwsuUAQdu
KXRTGXr2/bWYFlVWpWqiHrnYGYWbkuLAarX/0iSEJhrptFIlQ08JoOklmnsfdERtB5K0xyX70uXZ
jS0ZfGx6fIoIqHzg+XpF3bfg+tgNhF6D6JuHf8AZBNYv1bXPowT9tRL5l9f1vh7AeC7xUe+UPdHv
hxZTvdYAC+wlNnAgTGRlt86ugCi4jIpvY0boRqv0SpiDqYQPZvF4LfTuCZIzV3danOZU0YBUKLeK
RBcGEmKI1GsTBtZ5ljxmYA5HyTtMzOS6lQTEpm4BBZrnuWQjJkuxnSUtUa2MYyT5iSogxQWg4lD0
504bvFbueB4L7kxJXjQmGIxhEaDlgMoYCuVpBNPYSl5jM0PoH0E4Lm1zH4N0DEkuQO6h14jlsrsJ
7GMvq/ASEGSaOodZkiE1foYAVGS8VM8UDe1mCNJ4zSYq9yIBWbIAMRlI1mTj5HdQaY5tP37OJY0y
BUs5OfW2e+dU5giyBlobB4NkHZjHVMC0NIFb9iOUy3lx7xPL3cg7ekRsoUoeZgsYs8ghZA6gMh2Q
maNkZ45ANOMIx+AguZpAQO5rSdpM0+7RBL05yoVwJ2GcQDmFpoc4zsJLNzIivwDcObbEPGqgPNvA
JSkCuKcA8qlK2qdj47NDlVStGdq8FqF9EwbzFnfHhCwxP5tLoZHkpryxbD9frGJjJd0D/9uuKFlK
GIPjEOoQt+w3uisyErILd8pvrYtSSzl8bejNPE8+Zo4IfHb7FW/pLrGbrQXvxev6JtzwDw9aX6+r
klNYTdEFDUp7ow3NljX6kzFrWzdknlI5JgESbAW7ktuvKPJTn0RsBFoygDsSRRHKrOfIZrmO3tRL
l+ZQuVmL3pt7FmfvVoTleWoarJjorVIkSEY6niVRl3hRM182dE+qEZx3CxsBBa7m/KXHL/wQFZ0c
QLk5tDaMCddCmjbCldPkykmt3PoagTstrTbFm05XN6mCMKYXwVcie94Ck5I0Ilu1UJHu2MV031rN
S5f2uGvK8gQxZqtE6UmrANA6AB2Qq/rVxCRMtwcfzgPZfmZ3qemZwQ9XrWvblnF7ya7sJmMdkRwD
As1evGRoaVtx9nXlhOJpfp4s4VNBfsYNCN90vuMPHUEUUvZzrFwUNYqeVNkXlFKEj3thkvkuOVVJ
Pm9SB8/KhEN3Nhac5t2DVjd+ZM6hL/JpM+SO1P8lF3SZ6J+wAmFy3o6uxYoh5w9y38FsmKeebFnw
iSwZYgXNcFrY/py3fhS7jzn3NAV8dDEwZ/UJUnA3U46ECnvKzoXVhKfpSzuCimMVM0+2THJ1fb2a
Dwa+c7QOFaUO7hRE//xtTSSr/a5vmy99MxyTyfHbxLhVYwoNdwZPltoQ9EyMjSm0WBWAW42xZ6Ol
6o3ZB2+1JUuDId93jAK91h52WgiiXamZfOr5VaAuA7bLmB2J6ayQOHiR0R9GuzgnQRevJrJII3Se
Mp1CBDYqC8pVM6tb1+6h0Q0Pqqj2gTFtEHDY6zTJOP+mQllVVnmt92SLxUtzNNQQaW+yw5sk434v
A2u5JVpgVYvuFIj+rKkRyNUmtjJ39pdFbCyrWeuKtsdtNfgkuS2cwvrGNbtztVg2TgEO0Z0JCKnU
lyxoxaoT/Wc9Zg08AgXba3Z4pcmiPAxPyC0viHQcvGVBQ2st45lqESJbsmxKqxC5iRK7ez00e3xK
05WeKaSmoXh1na+4XwifqPyWaIe2cRTiE5gfj0yA5q666mznbor7iKLNBGmZmy7kF5E9ptgH/bAa
viZtfx5NKqLAYp9gLY9clot9E1/3wEdE3Hw1w3nd91p1GU3Tpk6Wu1QTCwIXDOO0I21hnholgOOs
uk+K1TxM9XQ+5hGlY58jnKscr9MAvafU8RMKzjE8N7qOY9yY90HtArAC2snCCrtMeo/1Z0x9jQyY
jbJ0o+dMzjpT470wJZR5zBcf6MKrMei9Pw/IRdtGe3aX5ag1ub6mXAj9UGgbYimSVaDjxmfTxVQ7
PXSxzXE5T+AcyvihTMQVFoFrcndGxM1Yx6P2i8l6oVOh6ivzsbWYAyG99RqblVxhFnfTrNxXU3mb
xcxxxkL3qyzWVs48HoeU2ZWxODdLAWEro9o+Nag71yaZQDtDrnYtbMoTQXz6EH2bt3yZ/nf4Vv4C
nyKQjf2wHTFtlGG2CsACABGjzZ+6dgb/mjEzrD5qN/nqkZzoq9oj6Nhzn2+v20N5Rl/jdbv4wtyO
frQrN9GZGe5INt7+U+C+F7g6v/DfFLjs2Tbgpb7E7ZdfTaz55O/qXAY70KVU+Sd7X5h9V+dqVJdQ
UuQY591/81Hn2p9cgZWGKckfn/VR56InJOnWdOD9/f3Iz5/n1ZTfsmA2+T++KH7MH6tcM1NVJwma
5bh0D7UTrPqPfcZfvlN/fKO+19F8DdW2DOHKev6niTgccKuaKh363KSAP6BXj/Fgvg7D7rs/wC+e
iB9/kn//Pj89EAhoK1D1Jr5oGaLbXIz2t17uL38QOaj77pH79+9A7/F9RxDiaxU9u5+jmOzVYNzZ
2BqV2XMVxJPDGsO41w5PFZdgfNURJarFb6wAw/BKlKeuAOAPiBVbjRlCdgdsYlAw3XBa+hOt6O9/
FXIL8ttXirHr+1eqc9XDvZC/C33NcpBL6KEfsHJqxnFEjo6aGV7OV5t0vJr/17Fi7/cvgGSHf38B
GtYdOaUk0Fb8ZFIvoJB1XLbzkUlzrMEXa0hhIUUC92Nl1JXnEqLQ7xk8nDWEV5n9eK2BdeB4LWHj
q8pCc1Qj1qgQZko9/tnoUptus/xR5PrZGKgtYgIl0e4mPU+2euomDk7XblUkmGusZl+hdxJDvdG6
GRHQTITZcbDidc44RqpYycTcNmSA5gyfloSw2McWZXbY3pIzcNC7jPRGyx/AUImx3NOFwjXGzJhU
fmrelhXeXIuac6G+j2fN67WefMF8zUBsrh9bfBSzAjB6LM6xp50Ik0+mfDsUxKrlJiGk+qKvS/e2
M/DnwL5IpB3SjEPDN2JS4FQHt2aZZk9AxuAYAuRyzaD109D4pub+yzezJBx89xaRZO8fHnzjp8dl
jGFvdVO7HNWtvgv2y0X3oG+dfXMkye6i27G/WRPB6c0b3Ttjf7Ap/elJ2aebbqturUO8Sb4RKf7y
BcmH50+J8r8/XD+120aW9XYu37Jlumf4W4w+RgXg2eq39epffp9fvTO/P45+OvCcOF+yCBHTUSGr
/nZ6rUMPUTEAALbnv38ItB9/xd9+pO8fgp8FDPz8je7G4hghorxKJxD8RIasxpYluBceERb//hv+
6gRki4BqwiFenV3oj0899sHJtjNdHEca+2J5GZSr33+DXx2A33+Dn353SAXRDoRCHKl4JexhVJiC
pv/JT/GffZOfTll3wi41o5A9usP5Up911i0jhd//HL+6kr7/OX46HmfuatB6pjiS0w0BDCCDde0m
NOfTt5/lv1shfYi/NGVbfu3+j/zKX8pqbuIw6v7fj//Zfvtv6kP/uXv+4T/W74TLU//WzNdvbZ/x
qd8eCPkv/6sf/Bcn83au3v7v/3p+zeMCmW7XxF86QTXzE0NT58/y+/LorHyu+7j49af+URypn9iS
a6iDMUj8iN9kN2Y6FiWujeKCdRfzwY/iyPmkU6NhS1a1D4Lyn8URk7x/fbF3H8bHb+Lq22HDL/Ev
jwrdlofOn4cShyRFlmtINJ6hyyCGn64x/JH5NBlzc5wVXAggksjfZg3CKodkF/xHscFRGNnRpWU2
BIVZ5qkGHI4sSL3WA+M6bchtVNnaT1O0TwZaWFvb0MFcpDjYlGE5ywrtwinovQU0ocGYyE/QL9SM
0DW9zy+Zg26C0L5oI2VTzsoJB9mdPRcP5Gx6bOZYIWPkJYcGaf8+JXo6UnBeWZG+N53ovplHTzFU
Zn7ZZT/H/uCqlxMYN3ZgE6q/BZmO5pHTdmfWSI75idZZM764cXcIsLV2jf5ZD9EGdNKOajFMcc8H
o74MoujSZa6Bt8kLo+oShvBKL+sDMtcHZr27SNMu3XlewQI+JlpyKW1NQ+/6dbv4kTowimyvoqg/
hOPsYZ7bGmO/1jOLhQTTBfdr27hijfG696K+P1tc5xnnKhHsxkOSDMRfuv5gttdRuAAPSPy8wrNZ
NTdzO5PGMsXH0LSh8o2+llh3Zpvvlrm9zp3uBfP0peIUlzg/LgYr35lLf5Y3866viQcKK8lyvqSI
AeUs+2zj2o6YW0Ge2XU20wUjGw9pz7BHmxFnBumzXhrXbmV5EbzVFdfWsVe6i1Dk/hIO+2YpmF8o
14k77TU1uDfyGZ079r+CrrGOyCKHXwMwRK09qcNkIDAC7KqnUzb3gV/G1rM9IIuvarIOK9r2cKoQ
5iJCyMfppaCKJ9itQRuybmd3RIrROk2yw10T7buS2JqjsSwTcxLDKvTt0BRk1WgI3Iep3ZtKqW7L
Gj8c0qfrtOyqs8JqGG/WgNswi+uHyVwGsi81gmWmmEwfzDGEDCzJtdAEjhyWTaiTsd+TPcFS24Hq
DWu2EMuCPbu3V0lFKHzHvtjr7dHYBUPBItCab2Jjrn2I9SxRdaK8lx57JmUUyJqwvXOaTl0zrp5Z
X4lT7MyVvyRfR5N9lquIW4UdKIm4PuEix4WsWqNJL5kxjqgikHJnwRuD6AMAigcFLXNyaPqOTd9s
AKepUKfoVriO8/IkSpLae9y91dB2BFRYBBVGRgrMwngJQ+jXaiNnMW3NatdwLyHxEAs7Ja+u0k9U
+oC9hoHBfiqct7ByPxezuDNN643XD0qmVDGiz3omR2PhCg5G5ZsFA23I1fFqgMxYZY2vO/FxiPIz
fID3xjSzDFXPEtc5I0+crHSlX3Mh3MeLwOOY1ZdIQWrSPdGSiF6xDmUW3BSVtBkSs7QW0aD7vaEj
Z9OKxxEXkt/W+atSSpLgxC7bBhG1SdJpHyjZNlERL7vLAIeJ4XjWTcdYtV+gcLxMxkAs+IRhG2cG
zHOkwnaUkVaFikjUYuNUUD5qXWyDUjx2NSQCjinWoqRwhdiXeyt+nEPSSlzFgM9eM1kGAuX23YvS
N34rcDBNAUDwInjQQ3YBM1lcC6tRz2AepPeKgObJ4nBpqtsIa4CvJvNMmDp/9ykIHnU5hwuqwOb9
pW+IboMq5448onE6E1DFY8n6suXl6V9zFVv8EIQy1oSSPCWbfszrfRwvFq9tOKuc9jjlkA9mpApO
ru/HSCVoYSBmUz3rRmdZZQqk4hgq4qpXp4s0Um/GsDs3i+hWm20i0HFfFk3C9tgYdd+alIuY8Cs8
aOldg+V7FWNm8HG8khsfRWmxacY2jDylDND/syolmnaI9kYHTwWG+apQHWWrLgCq5oKJZtHm5Wbq
BRE5M3IssnNtbcpOMcqEb/Xof3cxsn0rL5/zt/bH4uN/dC1C/fb7WuSij9v/OL7EbfWrYQ2f/lGP
aO4n7FqM1FyhOi702++WkhKW4qhUHi6GZ+hvf9Yj5if00Ixv+ICDNNHlsz7qEeOTQ/XiEM5AopAl
RYk/FSC/K0h+LPBlOeLSU7P8FHw9BDs/NRQNm8gWTXZ4DMFIt+I8Nv5FSv7Lkgfa7A8lD2Jwl20n
X8ii9LGd95nU96ODXCtVt8rm6TJM7T26PHYCQiTNxs6nw6RDeIKvObdb3r/J2lIqVpha55g3Auol
ohJAqQf0Im6LCjmoD32jOPX/Z+88liM51iX9KmOzT1qKSLWYTWkN3RCbNMjUGanV088X4CFvk5fG
a7SZJVeHp0mgGoXKEP67f067jOVUZ8fR9HEtmo75hV4apLWaQV9LwPzlLiVjva45rmxHDNnbWobm
ejAcY8vzxU4nBy75Tgnaq3euEzKb25J6v1Unw5qodpiZ67CWibYt8mGWd0U9R185/uqNZYAGT5Ye
WLA1AUhhJnjl+H9rowQYuY5Erlt3WEUIsbDfVjctHKQ6rubNrBn2QhujJ6s0UMgjeiDoo2VMBayt
r7ak004DpRILt9UuXdT/sFPrvvKbuzqdT2HR/3BspoyeQ9I9jcWpqsU6FNUpihKA5WG6N2oaFsPR
OQ6kWDljqg5ZkvcxFnWdPWOW04GEy3OZJBM4EQYnuqyu6thJduzzp27U3yInnRiIQMsVgZixwRjg
ubBLTb5PJ6yD8ZF7JxqTlYMGH5mOWsF8rKby2AfadszTXavF4TbP7BpqwEwRIvOsIT7nuAbXgSWq
BYc7OjzqfcA0ILIr9hG08FWopRxw0LZCGL1FM2IhivI7WbfHyIIboU268z71KfthHQ5LxOvNWPJR
HQ2QCTjkOXgUKzCs+7GsmAvT+2skbEophkqy0HQ2h4l9Z4tJMlcT3a4paKyB3gmcLxB4Haf2XDm9
Bry93vfpOG1lpn8Kp/tgRu1tyY3lR8vPSfdFqR3flIWXE+4Rsb00iKpxC9EOPl7YLcPbdwaD+9nR
Lq3hPrQYMbMocND0qVpOvWVnGSdKoW76ggaeBEhgHawbQ1vmDsWXhJO23tAy0rN44+1C0Rb6R0M1
GJV2uAKw+0Lu4EyXMs3s9XhAYb2e+aa9QSyJsdcsaNIutVezoS1UG/dSzCcrgFHh/hiDF+nNBzen
d9GGLlG79kM1G6Tsxree00zXehQT5+nJBngSBolBmW4KRSz1n7PQfLZIj5KfNk6+KKhfFldVtJty
ES2jGXCZjU3KjbR7b2weRNpT3okgYUfhtehJMkIpxODex8cW+YU7GcyE3vhRatE9o9AHrZTAgYeN
OivjFztUvnYYR4gUQMgOuH63mZOxtbrNypIGobpOtLdiSA78fEc70V/Y7cFDWgi/vsRKYVplcqG8
M92NWm4+y8FznxpPYkkYpyl4yNsgvR0Dt+HalBkgDYMaXEMbrSot5ciWwQqL2olGKlPTVwOPBfNL
O750QtFKsroPmmVXOuoJY4DCAM9XR8Iq8N5mB/5sZDs/NE4n675xuM5QxQEQswfO6Dd8mC1VnNJl
x8nDfBaa9m2r67D0q6FahX3pLQwjOfZyusvLdFgkg4TYXTYUYvniyXHuEn7zq6qD8eqOTXHwuNmc
g5IA5jiz04NPehMhRQMOgGQeOeKewr7Xw5IhbDLBl5jCUwLHdjGlwU3ayrdu9JcJ/EovMWGsaPod
FVrPllW+NF1KrCTZ9Un75dbDFb31CS6OiAPvkD2bSbeJHPeFK+Oi85g8CgMbcjDA+m0bTJAJScUm
sFfTBCEpc9dJZX5glBi5c4B3K/rnHtKjLdqShGP30lAvX9b8mtOBslz30SiaH/THP9qGZLI7Jndj
Np0Kf9i1FQFUbUgeQ+rP44FHdBzPfZBvwxy5W8+c27adr3C0PY+RfZGJWHqifxxUN8rAuMqd+00v
uN2Mek15DnlUJ31hJg27O3G2SKVgljKuqq0X78NmxGRuFXKZ2M4d5Qa8gxmBWXhJ97TUHVrLoTc2
1p/ZCbixISdq9BdyIGx3Mgkf7akiE6nXO5vRIcsNYMLxbBX89HnknrzO3dVpeDDgIvsl7hzox6WX
Xlk2jW05vmyKHBh8p68aljF7iHddBu246oJXcBwH3utVPI9Af0z/ILrppil1/pqiOSS6tqtt5yUg
M9dzwxdtfxcId4U9at40kDrp3I6uocF/4dEEikxwThcJOjccF9/OMKtU93nRgu8r5K4PcddhhJtO
+IqhmJonxrYvTiCPes3FwDRly2AY5JcUYrgmbI7joA6tderVT4UeUfKte1fYPvFvFlWl6lFxNkZj
vrEd5z3OqCWkyEd7GkqHzwvBpPUEFBCTYpx9jExUV6aVRw75YvM8RE3w9dP57D86zN9WQ/jQMGh4
Vo5pHzVHqTI/ZSiM1DZw6QTaJUke6HhM/Tdhb//fXkKdtH56iYlPsZN2vIRe4TvkBl9ejcn/oJb+
SWXkJKV+DEdHiDUsOAB/+jFMs5swgMXhlT6wy+Ngbk/jeK9pq7//UdDBftKo1IHNV5XduLeppVJp
vT/+KKFMJstN+/CqI0Zbce9sTJ7D6qET10NvLJyGi499+H7Nf68SFu/u318lzq9U7v2FqMkX/naJ
MOlRZ/pOpYY6+UPq/ukSQdzIBOFqu76F9fHnS4T7C+FJ00XyZGgGhIqv+u0S4f7CmJghGp+j/y8T
X2iKHrVGuAdc88+xSmxxXZU72Bd0eV2HYj1RU/DTm/IXzy9/058/kTgnuYSgmdr8hKog5E/yOhBY
OtXcrrtqRMLC/kPTr3z7phE7I+AjCVxg/fevZ/4pdaUmLX98RfU3+ulxNgnmx6xS3VVCjQPnuBBs
3NRIk/aBUDY3Qy29Q99iVXRS/N+Ng2cOKnMVjAQF2rxlDwS79DIywN47FkHrqSrFymgklHsvOtkS
MLVnpsuy1j96Lf3yR+2pmPNraZhi4dKNTgNqrQobYAFaZgSmgBWUxoY43InU2TZTFm8whQL045K0
DTCjLGPY+8D2OJiRYMJ9bcZEdrwlPK9bD6EY7Cbuzrg/aVXAbynBVR5gBIOmtxITeDRnuAkIC3Aq
sHZSGtc9QH7To0hdByBB69pRUoqBSfChBhm86IuXfrauRzfa9e7cwM1stvTMbUXpHei7G0kbyGHD
Za7ZBtF0lp0737k4YpCHbKKed5TsOTuHsW1iFNWuciKtvZm/57hdXo/yKmM82XKdvEDcxrDVsElx
56uIh3snh6yZJvITvIf9mJI784OLpqeXaXYejQy3mopRLnzL2tRm/C5s/QNeok2mQZzHUhwC04II
WZ7aYMCJNO0nK77W6T4pAvbZcToN03jqPPIM7Zzry9Aejk2vP1YUvQkB0yMv5gc7Y8QK3C29xF1x
XaQt1eXEp+b0oMsURF7p6FxBwHJXo0ebeZ9ScDBla8yND6TrID5oergx85IG4G5o4eGaMNbjajpl
E9Q4HK3HLEcpHK5E5N02XW0QYcnaRRTVG6PMD0EWX3eFdjf01EEQ1l9IhcyNQS3m7Ycb4X40nATf
/LD2u7yjiMJYsTcyHJ5u2k6ynGNncHDhDXW/wRK5wuC2yA1QiVJiPBLXeVBVy2HEudVmaX87TtEt
EKd9TQ7GK70nnE7L0bXr+1LXGENi6ipAn8BsgnwHQmNm8C2wttIO8qlj0Co6hxQHeRxWsL2ZJw6e
55iLPlDAILyO4v4s7ITy8Xw76vY6c4sl7NRj00jONqSB5paWMO3CnrUywRHw2N5MwECgnSAeWyLY
VL71Q9Q04/GEABDHhVXY2bRLBzvb11mxKdEWSctph7SZ74n5RospaxFk5V3Sgy1P2NGwP+OB9sxX
v0teE9c7yypLFmMyQN9raliwzZCTVOq93fcy8++mp1Suv9n04s+6fv3vO576qt93PNUiBUwAdJGN
e/FPqCN2M2Z1Fq1QJlfQ/5LN/F9gCHi465laWNDP+Ia/7Xik33wF/nVZFTnZEA74B7KZ+e0x+sMc
j/MR4ycXQhvFVBid/rg/zDD8IlPG+hX6HfaXfEa7Ml5k+AF2bKbfHKJtcYpVzXFMAfRpKPnzmqoi
hy7kjiY3Lo63GR3J9GUjQ2jjtkmjp6K2t8DUbq3Cw/9atYvGfTYcQcyf3uWZ/uXW5g4bqkpmM+wo
GSrucb1Ui87XM9iTRrvS4/IZ+NfKodnZBtiNGft1ps/UoPnZFBrK2dgeIkyz3LNcPNTxrmHvXiT0
RmOP3Q10uKGmt2phf4a+8jDTNE347ImARL5I6aDWhgJoS/cjBSUE5cze1L62mWmtjn1WPn6ybenT
dg4ydeXFrbOA1Eikl9brlvEPgDe6oADyu/Ri101PXRBN2dVgjvQPT+5+VjXaQyCOiZ5xxRm0HcUz
AttTHcAXQJ0R4978buN2boeyu8WqXz9k9HVnqrjbqbxDSJM3SUIihqT3S308h6rsewhdbW3T/932
WkIrXXcUNIMTAOYuT1f4ZHwgDL2ENIhPnj1gjgYjPnvDS6rTFZRVFkxj8Wm5LJsczB++WQ6DjhtX
Y/lpVV05nWIOAaIJbOe09bxhXZIC7Bres1CVnQ+/Fp+nKIj1pR2xsK4DAkVbImD2iEAST4g4pd7u
peeF69bFD2yYLff6Suq1uwZwh/W9+W6EyPpqwFlrm+3K+e6MGL/7I3JTEivLiAKEEYt3KXyINRX9
ZNRPFKqHQlONFJagbYCbHP80IHRQW0EPqVj6afWF8cpZUGC6mlTHhavaLkI7vXXnkioty71okYn3
1iz5HjolRlr0lI3iufBoz+jH/o7RGO0UqllDVPZHQtWGOY2fc8vi2VPCETqCjwIkIV31c6QIzbVq
7KCqyVoTj6aSTLV5+OlORPWzl9rtBmBRtrap/phaTLKlQICE5P7B3qiIYsPIJ6f1V4VqD9FVj0gW
apfwOQP9ScFIwaBN0Dli0z1iolzZ6Xx0Cup+ZXnTW1BTI9pKSpVIc+gvQamDxM/RJNSdx0Dl123+
xDOGx3CubmI6UCahNUQ0ngvbZiw8afIIHmSOV3wrMjtuutI4wBAfZA6qRQ3dlSOm54Gqe7TI226S
4T6NIpWsuDCbAoxdwsIlOJ0xLtM3zPfr93/3FQ7keCaYLfzNvvJatK//a5m9/uXmwpf+vrkYvzCM
MaDK2HhFvneQ3w20Jv/KFPAWbHAL3xmy3zwi7i+QbRzlkyUqBh2Ra/Fvm4vDTIYJju8wxAEy8w9n
Mn+yeampjKLf6Z7Ko/FqKsj28+XDNUIjy2pbXpkeHaSmoqEZg5plUkCzMMfQ2A9BusmApxU56V3G
6tFzDlgNuXXjwWWSANdcwCWJrV3NGshfLAPLLHHlKVOUNo5sPyZdPHl+SaNUg07rae26n9J7p4bd
Di6FSbMivsnEvRlDeuUXmOBLfZ15js5IxmbKYoz6ZebwBgtK9NsoiKhmtjnsFnobQaz1qY+oy4UR
spKxpM2BRKnVbbnrnCFfsRhdRowpi2limEJG3F5FYzuu+l5/6NnFaAhfD2bbMOIHguvoTFrt2n53
+DmXZc73rXyaCSm3+B5Ps/0WybsfYx+YAklYPEe2zCbk+EIE+6zkxInpZi0LWqBZD7OjbWvDKYgh
RmCmL5aiTh7AKiDpZa2BnS65knRq2KoQZJgBXzndPSMcGkjS6kGNysoKAB3wtZMYqW6zqkCNlYtu
VWhZiQCrV0u/5j1Nq+5ckj9eppPMNnOvbcFjHOzC/JEnPeYwzggoqDaQQGPnWgS+pjT+6PFMhMV8
mc28x/MgCKMn9VOmIg5EUlX37QlML/EFnY7cMO2W2ox1R6Z4bhuJtFe2CbkBk3aB1rlJAxLW1tAM
K3MO15XIvc2gyffKpN8R68XFhGwtKm0r9fyU5/EV192jZSGf5qI5Vj2fmaBrrqvYAWme8tboCNlr
gazYsKY2Sbet2BpdO8Lc40sNfnEiYV8Uq7TUtnWi4U+UzXmGV8JvDym+85xbJLozw0C5rqd+JPgN
3tgkF7mw5BwvMtFiZASeTyEb85GwgbQzRps+Kc6hCF6mqp82GczokJHlym71H6ICaAL/f2VkbFxV
63DmCG9CBhbGqLwzI8YO/6N2BtCNfcN72Dj7sMI1g6/q1HbNVSybSruR0s3mz2nM0p2Ld8FPyx/0
EBGIJCLUKDdI0ak29tZ/lql+29r1h1dO0Ehow51DkPrOqmyGg99yptHNo8yiSyzlYUyaSyGz675g
xlA1oM6zoBv2TmB/MSfquOEPltjGXeCCbin6+c505nNYcWM2iFluQnWLHiyH1xXUFECZVPfsiQv3
wMW7tp8bdQ/PO/+h4AaYcUGvzZpLfWvjRrBUk8M1mRssM5gXJru7YbHD4NCuTNOmGTCmoTdACLCa
9gTLi6MZgyCJVOAa7jKYwruZBsuFo9SESOkKZk0mVeRuQVTP4GKt9AcLIYKm33BXKW3CVCqFVHqF
1vHJKUo8P4VSM3JkDQ95wxXFl0TuyJXuQdPyjxk+jW2kqgEHbcRWKoleB+7CTco3D5zUiRb0czx6
LBO6fk1QkYfBrYwrGmU+rdkd1/o8fHYNTay5M95yDCr3VtG/MEXYQH14mmIXGEC18Rsc8TlKDNOB
RtBjEz4WEJyw+3A39CZ8HpLpcX3tx9lRh0U5q+uxXQWXxMXeEzvpThaTivLYDx5+Kl65X1q+uDd0
yOURnezk3IwSLGUyrivNPI88Bteu9G8ROnZjJqiDzHoqkjIT93liqPA5aGG3XfGzMnxIGw5gcfUa
VRxh24lWSBKrayhZX6H/HnMZaFrrNuU9YR8wlmZYZNzKveu8NTd6RDdo0KdigauFztl5AFTTJ1tO
gFjckgzFqtU+Yr6d59GMaNu0X9vhJQItCLwq7o9CM7gJhMa0s83xVhEoaCbgCCljY9V5RPbGitkl
Mj8FECNUdFhV1jHClbDsMvcFkGa8ZzlehCOWlZA0nBZVd2ZM8ck81Zj5nG494ucioN+8pyY5VK2x
trXtggWrqjPXmJpPTXnX2eNJ6A3ADotGFfpL7LS8MAjL9qUxXIXteKuDjNcCa2KW4B5l5e80Qxvu
o3nqNkNnfqY+nqrGdW8YtpBcVsjQf89Tv56n8OH+j+cpUER/cVdXDt7Xpv0//1sDKoOvFvcIkSNO
QDhK/qBOWwZXcg5voMcdwDK/W27dX5AP1bDB5Yxjw9j6w3GKQ5Dpsdhw5NMpg/4nd3X7j/7v7+MU
cSguMJzpMNgqatjPxyk/0CQV7V55VeBBhELuAGcxM5PW1OIxri3KdhMktsasAe6ntG2SEN5XtvHV
szFS/5MPh0F1lXCsSEj1dbtQhmvYEPbKqtFzZdEBsKUmK3GTtyGooflCvkIhhaiS0Re8dvESLLRy
8q+jKn+wa9AY1WBNfMzn05Ti5Qxb2lDjxyCx7tmGiytXwW2lwtx2CnirY3Y45DBwA0G1Xer7N+zG
I7085if04W4TmjwMBU8F04NjUo7TRh+LtdaMtxxUrkb1IGE1IVPPkyqqra0etZ5nLnfru0g9hKTn
z416LMPW2qa6H9EH3bxP6tGlrrFfu+pxtniuw7i6E/5EpwwPPDeYRVPX8Z5+iBfDiFwkw+HSh6pn
bg5Jzqu1Y6S4UK0mY0p1dVan9LTOt8H3iqPWHletQlkMkDdnYfLL+OCrlSphyZpZuhK1hsVqNWNJ
2g5qfavUSqepNc9Qq19HDX3HcmipddFigSQoyVCaJRPr6K1sPkwWUpdv16mVNVZrbGQ0rxF53mWj
1l/BQpyoFRkHgYG7EwSzWq25SlO5xALusZBjTJLXVW6cK7XG62q1j9W6z3jF3M6meS/UnpD2/spj
kyjVbsFZCN8w+4fDRqKrHcXjxB6wxTSyvR7YctqMIjS2IKn2IsOOH321OxVqnwrUjuWzdc1sYVM1
PWE23XBEeBFqj8ut/pbDDJoO2x+vPNL4l332amcEoUFOyJiuCUtbuDiis6/20d6q3wy1s7a1YWK1
ZDARabm7rlxQi+upaNAJ5o2tBhl4EstL2GvuoVRjjvF74uF+Tz+skpwTJi8OP95w6G1r4QXupi7H
nUIbTrY1rKygfvYFIWMxFcwpSl4COyvawK4eJjwUNm+xFwZbLY/mB6uUxkKYmMqt0r3zKufYGtNn
FlVkdlP7Ngui8OjM/XrO+4sZYcEm3outF4tM0UQfyVz6+JPdDwIqhNY92Mx27zeQhpubtpK8xfWZ
xhNvhZuhPEiXQy3MikWVYpyCes8n3APePU58xdhD/x/CaZMYwVdWBtdZPXX0/7Y6/tpOLp0O6YRq
kWNlFvp61p1qF3YzXdD9yg2Kw5CYoCkD8zmh5VA1/rT0e2n62Rpq+1PXg/Re6qLcZb2He8LIIibk
/+5Ov+5ObAl/szu1r8g7GWy/v9id+Mrfdyf9F5WFdYRtOv/By/5+2YejpjYlwRFXgRp/2p0U+oXq
GSCOLtW43//qt8s+s1MFo/0exVPD6/yj3clS8+CfZpu/XvZRHNgeIefqQuev/vPuhOfDSusxk1cd
kJP5DDXWTi6G0BNz3cJ8uQbG0LdLjHUXu6yuuf29izAa1rWZ3/cGN2Bw96fKrJ+ZHR2ypriN83jV
aiaOtyQ4e7Z9JmqeLgt32NI5GZKBS0+RPjzOSfFJdmJcyN5sqMB15I0d0tGRM3uMCCd2mH/olGd0
krXJuWUIOrKbr2qrL4w3kpILQOVhRnUn6JM9iZs6PmAda8NtSrPpvNB7n9qivLQS7GSaDtnB6cu9
G7v5tnIp/c5oxLu3gpYlOMiHpFv5fhiJU53EzXMyBMWq663c3PRdn8xQRJKjS6UrpQK+3Qxrt7a1
lf+dU4A+QTtN9Z1fyL+zDIiDbx2kzMWQFY+uCjy00QAXUUUgyEKUAWxMV8UjEhWUsDp5jlV0wsSW
BNAsXldzQBsu+QoZANInb6HV874lf9G7+bLohz2L24qe9dM42CTKHNQTkht1Zt5OTfxKqdCRAIdG
z1137lTYwyX14an4R+0bt32n7R1yIQwbL57yvln1IteGHXByAC35DovrKfSLS06+pJP1m07exMdC
b5I/SWkgisijBEZ45cDJX1RZeZeRWHGLeJWV+nYgyVK33grj5B7e5WOufJ4kXnyvOWQqAoNV3SQp
+FWAahdkZCyyMoPKzJTkLbirB2Rp/LR9pp995XbeqiRrU5BFonD5ykPSYPO+FEzdG7I58yDPPVkd
6sgu/C6XZTJsKL29JAGwf7I9s2VvOrI+oH+2zENfTDvZMBE4l1b7FkrCQepXH7r+vagNmv+MrUeK
yFBhCqYZpIBoTamSS+3QPsAWQW/Yg00OKUPrJSAjV9h19w1JJS+GwUdyid0TmE72CPfnQeoRtHRt
E5T2CQP2xiT5pCdQ/5zJOA1kouhIaZc+KamUtFRAaoqTKFWDRG5IU2kxyAnSVbLhAIeB87N2zdve
H29rFcQKwt6+Yfi5jZ2BkFYgoHSa+VWd6ckeaAhZrtiUwHwx/XHCG6srHalhMPhIdaqmWKkQldIj
SoSJCYFCR6gQuQVyJbwZlYIxoqH3WHRXFuJGm0x8/FA7yjLYgj+aNpoVvMx1dh6UMuLl3T0QUqAh
FpggpZ6YSkcxvhUVpa1oUT0uy14riHgY50CIW6GUGKbn7SJR6kyf+NcJck0jaN1Q+k0JOoZ7mpts
oKmcW0QepJCljeijAxha8+ngt2VCPqPW+bpitr8sEItMpRpFU8PcGt57kJ4sZCWqwta5U11KpTcN
Vf6ORZpfxqwxyEWTSpQ6xYjoxs68vVS6FY5rzAtKywqUqqUxR5JK5zIjG7UE6SuPMYWmiGGMO55a
pY5NSifT8vnSqbARApqjlDTNQ/gosfqOcYQKgdzmILvhJD+AmNt5WpdtSLiVHLqHMwoxMwql2uHz
JUaulDxTaXpDXFabpJtOUul9jhVfpQiAvdMR04rG+9Cx+bzTVVkgFva4+QKlHnLCxzKJoOgrZdFX
GqNQaiOkvuyIUTT992b6K9rZ/lulH8GVtpzpv2/86st+3/jNX+BQ6Aa1OGpM/KcuWkd5Ab83fa6D
/5H4BYEMJexDgjOZRpHW+K87qf8Lfw52ghga8jyMjX9yJwWg/uddH4aBT7zD9Pkf/iq80h92fRjp
TlU1+XVBckCcG7NDD566mOElZoXB9LEq9wxICQG9I8W+zKpEDjTRnVC1cpb7NvVgkUv65mqk8EoV
0BGayEhxuRe9pZyOp4dW2pJkYCDZOODuYJPGxLygtuOiqYI7AmgtbmB51Uzth6ZK8Gx/+BCqFi+S
nNZVUZ704uOoqvMsPzlrnD9qXdorqer1ohZrMm3i2cKdarJi2NWpbX3r43Yz5+m01enp00ZjEw0t
sYYx3LlueymQgwGaMV+zq+F5oNg1a6dsmaTGnWW3T6HHjcpXvYCGRUNgGCP8MB5hT1D9gQZFgszd
5JYBONEpCF8xUXgp6P+MZvMOu1C1iLr4ZjT1Q67bn6LNt1Y9vDYiPnLRSJc1wNkRd03tt/zX/i7X
66fOivdyxKNSpOGTbJwnP3mzBiRBYb03vv9em81VPcePthzfU0EAgLT8zAzEudb4y2JnGnZ5FFPL
3hL/n7Uu3KDj39GTfcGTf5kZDywTneTEZFLFbVdevk+MplrYBgw7hsjXmj1ws1Dlu7bGHTocjWMS
OeE20TpnU4X0fVSdvvaa8cFptIM5wIjw3fbgScINOvWn5SRgKqQVoIWyMLdTq846iVzVCtNUTpm3
Td2oXiU6wFKnD8a13ZkgcWn7W7qTSY3J8CPwXND03bWjd1j4ClK+ml9ta4HNxzQZ2KcpzCTmQWM7
hAsxzPhb9Xqfa5Bca1MLtjxowXKgR4jeh0vEr4L/sn5LtPqWBOA1AMB9mIDecswE1zXQilbsfAND
czo7D21SLfQ8/MG1+JPyaA1PAkdXu3NU0s1ni+vmpyKhbSY0QXO65aPWdfBKm+FBo+6QwQ7Cy4y8
sbb69G7STMqDTIfBkyG/cqpdofqWZ6hGV6kgSdlOo7nw5EDgpR/Wo4fRzB0oOtCS2kMFiCkdSv3d
0HbsMlY9vrZBmay4vaP61qDKrTR57NKVm8UPSA04cMEgrnnWVkL0HK5at90WDdFPe6DHZTTMYGnR
3jOVw1kUOPjzhPL0WdNu0BMirt0VhyyT2tgCwDEOEGcZU6GyHMMZ7US+pmOlq8/anbAO2kTlIzYN
LaxvpdusrWlMVlHkrj2Kl0iZf5EVYybkiq961p/9xj9hEL6U08RMwXAX+KeitTMxq57y6jbqmtdM
gHCJpz1dDFjKfdhUzPPQcdHsPfTo2pu+zKZ+CbXuOMj2Jiu1c9sn6SYu2tWcYm33md4Yep8SVxnM
RdLhcOv8qF/WbftVajlF1OOgBDb3Na7qF3hB4F2lli5MOZJdHzzn0HaEIxtb8xhMMoqkXpLjGYCO
PnPeW8ND33HMeMWCfGy0emTm05FBmPtDS8/W0qzDWycaX4G3wQ0UKVO6qsmA5bIFN6LaOTmeM4iS
yoF+19oVrDLEg2xERiCazPG7sGseOskj4TnnrAZ4KceA3kuLKUcXjEtXC++CQFzJ0r/zA7Gzxsmj
Z1bR0qfsNigRSYD3bMLWy57qoYnposJZyV0SZVw92HbySNlJy6VnSDcsq2TbzehtLCTwQBFv+qE4
sKDfTkL2u4rpJOnW7qYUvbmIbZtIuudtI0h3y76xBKKLvA+84kCiSCzTKiO+39/EtiioBCGGEcNz
dmXNUT3M+Nq+v7OdxNvNRffGTLBb+GUdLMzCjJZOUpF1mrUvX1B9C/M93nq+dlNM8s2xeLarzPWY
8niUgY64WopgLrCz+6DvZPVEB0mwbD1yBvk04uaAZLOIiPytJGu2XRb6Jon1dpOpmIkPF63kg8RF
bjO1Yb2gfEuBcWEqDxbZinbEAOljKl46fezsGaaCfhbIbkSoeWig2nSif4im9GZgT1y2CUHk2G4S
5iZ2SJ3SxMfNw3fRJfwZGG+Q29pMglskZ1A5ksGqO1B3MBAgS50H2gK2pLE/bGlf0972OTJdAR2c
ELBpOZnW5PCcrjhhua+orqP30NPpLHGLHZHJfZuVNXqW2ZF00OUTxsBs38zVg2Xy4GeF9aiRI6cU
4GOoso0fJA9s9voxdojdsv/vG9z63ODvqUzaWVozLGhdGtUNhsIWMewCZDSVfuQWDu0Rxahfma77
Ho9SW+WEFpeVLOfNJL1bI8irtU0hNPZe5N2ypBGmz7pgr9fTq6PxYWij3txAN70fCxcEU6Ad4jB8
rTFjh4TTsDOWZPUB1BVueS1TbI/S18M1ucT3kmIxLmvxs9DJZCeVc613zg8pnG1QZuNuDq2vRKfw
2+oh2JlmHVEqX0Qbx+U43jpw3XU58fFLjBav1uQviJg9O01/YXofr7H1QobWWLWjCZcPWaFh6WjJ
q16YZ5LVMELjIGF4XB7jPuOtbuvtNBO37yzFYdbTXcIIaBl7hFB05QWqzKBYyqTO1o7vfUShNi4q
L6w3jM71pcz7fiV1At3prFZV5xGmpYELi3KavNLuqTl4qH1uM0XsL+WQYdIilxl2XrsMgU0jeER3
rQN0gNP8vgu7Zpnr/oMouuswo02PcSl3mlIDBuDwPFlQdsdQy1bMsPcaJyfV0aODY2zeyjDH1cR+
zrvFFoLBla5wStfjzwExWCudL0fX7jWEy5WbK/XYT79cpfsymHjvp/ros5MvJtd+p51zSycPtXyh
cQgKq8By0Yvl6KSPYZ4TWB9rc+lxK0m0nMjWm+5RB+wTK/KEJhdGlxxKBeYouyS5mDGlWoRHFwwE
n0NqgGBAJPcGfcCotNqtm+OeNineEv7wOHLmgv0xI6eXslhXrRUuGSQzc04rfhzBjMMbyKECaz16
KK6eNykybgUnfhi+HNOF9Qp+eB2m1kbvu6ey59GNauMmCwt1WbTOlhPTaG8n9YL5+p0T8zuyXcJH
MhpZp+viPIqa7LsjDobXvsMvhR0cA5UbAYLnnf4wZ/FhnLJ7jI35aiAeJ139re+ZJnhQFRd+C7hD
Zt2pbOpNoY/eAjWFiyvxKT61yaevqBm9g0A9Fp9zXkMHKQiMovaYZvFE78qqdZOHsmdm0HDKc1OW
vqjikxn5g4vHJuYv2blbfay/nIgj3f9l7zyW4zi6tH0ritkXorxZzERMezS8I0FuKpoAWN77uvr/
SRgJpsmRvsai/wi1FpIIoroqKzNPnnNeY2U99kqc+Vp4lAHyx5R/Dl3XncHg3wCD/BHWzZmuF2v8
CZWZh+AqehZESg1V88K67H1l3hsJwPIiu8JhewWI79Ch0FXI4XlNT5OGzADnEfSaG88RlDgGKH/Y
BPk0NuQWtn+oDNPCs9ToIk5H83ZA+cM+LSS0NS9io4Z3NojGrZFL/1J3nnNQ6sG/rj9fNwDNHrak
oPzWSwqKgRB0M8j9qIiTN2qvOqPoAoAeRhLAePRrFe3PF6CZecCBSCSbhixTFxa2Qy+1Z+PAor+K
0hpEIA3or/JPstCPRh1oIDmUkrkHRUeh4L1RB9VGuUiTrDkdYwBaKLt+R+THF4rTFhVcyN9lDC3T
DaZD5p4EWDTMDKWrpmXanidVdmjRWuUMBzvMaQucC4IjvyECW7AXEYy+kuXovuWQiHBFS1iRANG7
nXqSjYI8KpveNKlET1b+isX9d7XSb53Co5rqO/rCFWIdjjQuYl2SIJL74FYREbE8CT2OPPwC1Ox7
PmQ3rU9qldWYSLim+aXErzilqVs70lc3hc4ODw+ywUkb+cegbL9Xmc2x17HOS824i9EFnic8GM0+
vHKAxa4bJfuWDPKAs5hG77MmZSziDlZkdzOoeTn36m6h6zAS1FDrpnoXxECa7fvCR+jEjs3jqo6v
O1LcqY09pxHZl1ng3BeVcw6WB/nAghRE9sJ67nbdqZ23t3KU3mH18M0tEEDL0jvKGfAQotKbN2kH
DdxKzr3cWeH8MdFD73uswjvOYzufdSbS212e3XWKcwKqup4lA3STnDrcbMALckHPoJyCfTyuq2hd
6O4xZ8PZGOQlZ4luIZcdpiTOStCRcaH8GejhA1J51xoMftR5bhNvRD3F4iZ5SY5cgqDu0OVWZZI1
tS/MC7OtTnyn/0k5NptR3gdC5srTpgyrCdopX3XPuNRrnHvtILrWPfVno5ot4tTi1w3O8Vi73SZo
O1cZyr40Xzh7QK52mzpcAqL9Bv0polbR0PYzZORXcLoA225MZB2Q7RgtZCsHDWzLy6L2kQqOIFs3
OW8NTEw3VQ2TIkhAHxTOu4lr8NKtOFpwelpTlqD/Qd1xgjr7pRUjZJtSpCaUobnrikQXoKFc9zQp
xypEfpcZZ1hI0tkjk3ioeIeJmnvzrhyvEIrgW1ObiNsuXLm5Gm1tHXSgmSw1hvNTuMgHx/Siodnf
1Vl/a1PQmlhm/kNWshJopTstux6ElxzAgyrp90v+Sk6lcCZZ8GtkOVua6E0rMlKCiE04K5oYA66n
9kMSFsdkri3iQmE+p5RxaHrDMFMboAYElZusMOA4AQVjNibULesfVeOQKZcKctkjsDAqT+qRnkbp
rId44R3GquNrsyjqvqp2VLbzUqr84AvD4NZnam1BIzIDQ1uYbiKn1xb5TTbT63wkwJZx5U/JC6xz
ilKBeT4U8I21ove+BWjNVzFTaCIMp07zCp12gJRTG+S2TA3Wtxzvyi9kIb1g9BdoYaxB3AXavLda
zeBwH6PObGPSe9hYMkIKRQBJeAq2I05wgtGAw8bA9sy+wFVMU2+jTpaDkzjNhWZU7IM3MK072cMz
l8bWUIJop+XuoG0V6UYxp2pkeddybcXVN9VtPSK0NtJwIBEz3e+REfj6iayWiTSJnb7J/y3ZPodL
7ffhkqNWkm4LmPzenwHTEZbkCup82EfZj5I4fzZr5QMozwCv6dcSt14HTPtAJ8SSa6qmCLJCZvcl
YCJtzB8QNKG5klD+M9qP+Q5KJGihOiZZYLxVR9eFj9bbsq3SGkwLIEFno+GvNfxh9DajzcBaGtMw
W7QGdavQjU/0PCbv17DObZRlkNdnPo0/3G5mKE5dpCh/NJqy7qp8EzX6N7cCPJ3WJ/2o0PzTV6MP
dSCSsmHqW943uJ4XLfq6czNJNpiUmFPdH1BviJmZI+vgKBmAFsYRQcJO6vRrpvlHTZPZxyky97Yv
PBpI9CYjbhelE/0wJWOhucq5T/ErL2mswNe57ZQWUkdqntnUSthKoPJEiLydNWZ2b2YZeXdPrXj0
LYpUbaQcGoN9XNfWoeYm1xSjHrATOKl0R8jSX3dDm4Hg8ZaZ2aBNzD6RteaZkVnruEa5xfGNGw3K
Oiam3zvfXFQtG2mpkIN3jn2uOyU9JCDqXXQadjgBSYrLmRXgD8aFwCdK6asjAOAZXkiyER7j7dRP
BEcF8gix34ixHo5Gis6mkyyk0PneE0ONtjnWGzs7zYsLAOCLhKx0sJQzy8CWQ+svByhFfQgjVkMB
XlPAr8fSbau7X01dXpgN1UAHVyOci5IfwQDtinb2LIGrBH4kPB1ahg4n+Au5dynjRGbypdAPgQ4h
HlzbHm34wmpPPRnhRfw9wDmZ3XRo2isfdhb/HSwoFcSzuki/NNyGWyB9FwXktHqXLY1AZmxshTbY
ACCb9xCGEjucbMezbLBl8PPaZWBnR13n3usFUTEwzWs9My8l6HNTqTaPnYQDTmNYaLbk1MmD0r+U
8DUxQBXDQqZU1RfhNerRd9DYZqmbgKGM7sO0/OI5nMBM1aCOwkOtclfpIPgQJbGa8qaAJhaaLiBV
Fq4wWRBBs2xmI7rTxhgt4UatIlWL52nTD3O1ah7AIeQz3US0jeB9m2XJ3MEVQ1h/+xyxqJ8ByoHY
0ytwOisgdBId2cnYk1GaipOfAEBDtyai8NZQoJLJGLMA4xnAwTa84LRBpAWdCmiwx0oSYU9R3Qam
dQyb/DJts2BqBfg+Sso4LpOUgljqlvSqB1JEgF/f87S4sltevNF5s4EOt9y4924rKTOtNVBltC+b
zl11GvA5xXUPLU58E4NJjxqTvehH7BdKhU6J6kUVrgKcwsICCURpHDYwJ6opxVcqVozopJbKdd1K
MzkyaWUACFBEtxS5hyUqfcl8iC5BVSjYfqDdNG6kaNjUrXnt9e11FIPH7e1zRD5hpHojhTWVcgii
3F+QlaHyg+aKP9YLf2jNNYYNnATFeakxEB1MpWHDex3WemWgjZXrQL1hQKuS/qD21UksSye9XKdz
dBLTOX5kGzrIqyGvjWlmguOWLVhSQ2dZk6GkZqUW3VVidRmifbWydFWPU6FGVbJr43TWNcxA/vyn
GnNUGozYpSlNQcmOpUuaGA9VwpTQzSQgUbdu8rI4rWJA36qiP+S5fGZJ3aIKKS1KaqzPOQDjiKGE
C18ey2NXQcgr1XnbjPhRkfLQUcpsaur0m57E2YLiMmJSge3Q1qK+EQ/eytXNfpUpw6Yw4cg7bI2U
oxYF0kE0cPWTsfbPqlhLOOIBExsC7aoLkw6IJFi/Sl6GpX6dj+yVmXKleIU6zUaAm3JmbTwvX+em
D9xFD2ZdAB3OkJsbyRyVKdTLYh6HtGZKg0kdVe631hy/lTVl90r3Vl4sYUmnNEKRNEKvpbnKbSWZ
lRHvV5Og1tCumnagyiZeQgelhHrGLp/5zhkb3dIrfHD2enWNmOOXSK2/lgU6lnHUfNUdrOcUtVMo
mKswzaoQfxnbN6aDzxkw85AkQY3zsKzCq9TUlmMOgsKNlG9dRNnfwfHOiB1UzZxI4CBNDnbql9a8
6Kr16N52NM987YImzISu1xeqTDcBImAQWeulmWanak6zMI+VaiWH5oPCRj9XUEKnrsvSplu5kgwK
J5Y5BvPYCuDD6vosc7rjKo+BVagrq4/ZfoNhPg7KFXKkR342jBNI21+tmhaBXNTroj4VOJvaQIrA
w+YEwQIQL5kTLNWihFheBl+VYVzCmQqP6bQoqK2VJ85gSQsYK9FCq/twMtJRhPlOGdpwhbS6t8bz
F7Vp0xb02Myj/zA02OnpffaApLd/0qX1RMclNzGsr2GWdMuyDgRgvxiHU4Xi/NSveM+Y/pkrz8bp
L3AFZrdau/WIhQbQ4DN5lLDyA1d02AKiwaPHtjeNPgzLsYfR5ed2MSd4hAvS3kViKCcgvw7ZjdYm
CXdk6zQXa9pGUqlrXwIrZ4doC/pvlbSiCnUKg9Vbpb78oA3yA4yNH4QcOER+vxpkasc2ijqRzKNz
j5WmZLOojzGrjehOef6STA77GBfNeZx7b1HpaZeDUofzrvDnBSoVFHnHBcJowjrKPPIEvOhHLa8V
3b2MXGslSZ0Kg57kOu9xjGwSZRrF8g3DTxRX4ge4EOtW9axFDsyqrMxlaGMyaGhWuiDdJ5Uq5Rz/
IxSslKK7Teuetld8ZaCbZMbGTeIUZBIhzZMxOux0c1EGsGhYJ7SQ+oVS59cIZNyxuZ7XTpdOY58p
EJjFJWDoBRucsux0VEAdBfqND/LEGjGyMmvMjMLkzHJgpEaujzqqEw3zsoeizL4fz3xz9OFsV/Ok
RyM1N/UKooa6GSuac3HXYbwLHRcH5lMOubdlmR/3VmxRbpbmSoCnb2d/I7TQ11Evy6I9YuWuQA7K
AL39mxxGCTIJYHYUQm2kHAdufeTG2VcjV24h8hEjUutrpfYnGdkPCsoO3WS8J4BbeV8oR6RTBRvS
MViXenlCX2aRdyqtj8C+8I2cGC2ZN03enoy9P0FP/UesG0hr0Z6stOG47e1mNZQDddbePEkUO52a
CRuhhBmWEdAkM/RVlMFPl8ejptQ09C5A8pgoaYRdkpxr2CTNaHJJyHCV6qz1QfYhvixobird7CQd
pnll6XOc7FaVrtJ1lsMfVscZxu6bcyuH7+GUbbb0nKo6TgoUTQqtwxnOstmU3GUUox3oPML/1Eco
IFAgYIFmLa1NgRQ0/ezQeQQPxo9AwvERVPiYhfyrwSAgJb+uXn5Bfr3ZxpMVv/ZnNmaTPamoG4Bf
Qc3wNYLmsXwpZKgM3XlWJHopX+oHDpkYRoc6QudPdJCXbEw7IJirpHCaUB8S6dM/IHaQ1b0FzgK+
FTQLpCAUjNaEQfJrCE0vS15blinFS1GnY8l7Fcq5VPhejcsW7SHlUe/qjdYDFBXV1nUagLKqyrq4
kVdaQAosjsIM9ZyToeHcRH4hmdPEiodxBagXEIRWp41+iIrbeAW1yqNzrSAvbpO75VmIH4k3OEeK
leR06EujP6f1cakNGVmSOXhWddRGYaV9b6mr2cDWi7YFiI4BXqu3AQZuUoz5QozCUZDnmTqnZ9VA
JpAQa5wElUufIhqcubCSlGdVemfEendqkX2e6Y2cx1Mlx9hrkbm9No3bBoYryqeoAHWZdia3ihEd
t3F4VtZIDyY53uS+c64p8oNR5fcpQcmt5GsLWbi005aGZGLtK/MUsPznDsoHTjI3+uTQHdDi1iJQ
x1WpzOKh+Onb/iVdv1NFzX82WnsVYxI7Z1MOv1kRtAkH3uqJZOUl7EzDXMeBg9hFAoxjVDGZkCTt
px5W8AdcRJXTusjn6HsWE3IyY652Nm4qzmmVAiAcVbvlyDeqyzq1bgZFuo1VJLWz0IfTUteeih4F
2klMCwI+tfEAuIS4BMw5JTLLm1KvtX5m2ql/WUF5mDcWBsZOL/e3OsaVjCKSd5MqovOmS+UwC2Gu
FDi1r30JSfrfzzFVwL3eTTFdNWS0eCn8i2bB2ylWDGXheWhOnRKANh2ZxhV6SRP4CjhupSB+J7Dy
5snSmpdzIvhaX2hzII7T/9MpQ4DN/7oP2FiaZYliCZUPSh3Es7f3YfSI/CBBnp1ytF8PMVbwkVe4
5DWcRmi4O/OidaF/qib1RdeWTzyrdNcK78iMimQ6WMOp48rU8NXxe91nzqJSQafVdb5w7fG7ZbjY
07j0osF3fgW9bFHUL4apVQH+7DtXJfsB0GD4/XzQnCVa5MDTEAzXcZEaDWc1agowKnWpg62bFDWq
FoGDhWaSruhfzzINQlIm5/Ou845VyC9kCDCPWk4ZSRLCJW+L0653tGXhCZNCzbvxcBBXtOSE1Eom
48yXcsREs5yCZrgcXv3+FQvRvDcji/WriWcV+yX1I+29lYozqp2TJ255KrcYDLERQOwvie1S4M+N
DJUTvfA2v//KR0PZ333nu7cp9a1VtpFXnRae9s1wOWVheYlHqrXSkwaRI1DJnkk1xUIyxIjpjYIp
GY7HskHbUTKOs8C+lQM6m6CWf1I65ThXnKiZeSG7453hFd+TLihmRVrkT1Z0/8ZkUU/8dUz+hi7D
ln4iv/MSkAXTUgayD+aRdp1uUDn9szwK2pXghEaGxTTjP//qJ9o4v6GZZxn4+sFKfutwrAGLMBHo
Boyi0lf8JwEZ/uabSQ6XBXqlSS0W9SUL+qbDTbyOlHXZhWmshv1ZXtMZzG2kHNzyulYTfxqqdKlG
Jc2uA2grNBaS5Kpq3HIlyUqzakYXTy9ovBjAu/Wk0LVTDfOUOS2Mnm0lhPBtttNalUkPi/aH03T5
dTbgGAkcqj93SMmnCHxaU6dxs2u9ak9KmVZAnWLvEfjZGe7rZCZd6l2icoSnu6Fqc691lVmlKDcJ
On+rGKfPZcjuAGHkUBvsa69oykWvI9YMcSU4i4M+mdKe+y7JJmClzv6SjmpwU1CmO/HVIV2Q9aHG
EBFEFYbgLFBsd0FhxVlh+SmcKlVzUj9ahOeYhceeRn8/HWuQKRaoU3zn9TyMJ2mTHDfFsIwczI05
+2AF0UwdYUhu4EwuN/o8sjx5ruJZHuFdjt/JF0bzJBOm5rKwN6fmmgCh978bOJ/3Jni1DC90r4i+
lkYKQE7YpLv4pdfCOB3fT3BcKYx/0/NW0Uikl0zs3IXhep+aaxP9vEkNjoxMBFf2Wviz+26HaDqW
7bxotM/N/CqT3FMdU3ebupGG8jFPot27Q3UuVfi/RzZVk7IeZZq49qk2OtBr3fHUyHildd7PIHec
R4n2AyIMlJLoTnJzdnHfX0dxf2YKD3qLWhZCIqi9kXUeokFpTOMGcZ8O83pwcvVUTYThJ37Ewt8+
E073VBW/5d54oetISRWWP5H6UYKRC3+D+QES1S4i+4zEOdR+CD/M4dCiTzrH5eIIaZIxoaJXejOk
zPE8towHCQdi/BmAJEoDZqrECNcJDbSM4jVedOXEwpwD2IxyrFnU0+OWlNuVFSK2YQfLwYjQioap
AmWT5NAw2mlrl8AMvQglDspxg0/tI0iQ1shCZ0HPnN5mNDLIHO8OpaEqyMmw8e1Y4FOZmap5+WWc
pqilBPphbztUHZGuv059F20iHUnMLO0pP4Wc8xwTuLIL7EiXU1Dl7sMA4jcAt3wYGcZ1Wbvf1TSt
p4hrTi3LOaVCGJNwG/j9do2MYoF5KNmlfkYdJptwOKmnuRIgwF7qV22UZVO3No6hUECagPI6lSVj
XcZNsFaG7KjQY+WwyKiPebUzjbXbSnHPpM5bdBBWF3TOlzXWivipJuWyGoCeA0+f2UX8w4+NhZ3l
LHWWSZ5bPQObfM/9at1bXX4YSZY9wy1VOfNx96ZlLPmX1NyQfNLRGWts97QtQD2FjjlXBwcfjhTa
j8YRAYmW/mJQAOChxElLfBjtSaOq7or6EvlrlenLwXOdmSwV1WFepEeej7Pv4DXaujK9EU1yRVrq
WYG/QJFfmJJTLsZoWCPkeAveVTtXQ8oA7H7RoRQAyPYRDJHACHi9587NMP9WWKH3s0pRF/FZxhdW
GD6M4UhVInW0unxKWf6NnwYB5zfxs/nBCem9r5j4nVfxk/Cpgw0AQfOo0/RX/FTIdU0ZZzA6iYIU
+lf8dPgJwRZEjvrCIH1JaAmtIqg6/Aj2Jh3BfxI/Mf74ED/RUgPWQxLgGKaC8MGb+BnXZS0jtSGf
1WF26zqpsTQjTTpSpYZqkK3kFwbbuTCjdk77yK0WGdz6aV3p6zIzUoS3AVcz+4zjshybCSsC/czO
XLZdcxXbfX5SjhJsMFmnMXWnoEo6U5MOmx5UTUazO3Rce0GdUZ6hmLlshH9l6gzJ1Or0my4tV3rg
p9dkKRhI5fmd2dnoxeQ3paLnQIY1UlWvuIsHJ5plFWDUoutWfd73wI0zP73A5mSphLp+LmnmkWt2
zrzuZHeadJILkbpsMKWg6OfWG6vx7tzERhl+gGztDXlxaKcOfqOZdInuSXzuQGJH8AViVawBTHEH
y5q5+HlNPQngX+oOdDZ1XCQc7b4KTEpkEC3rgJKeH90GqnZdZ04+k0L1IY+MHitT76YEOBGw6huT
zITDwMotnHv24RT5Nn8VOf1FKocnFUr5SeodhaNzrSAugP2BYLyo8nVuUUwdeQm1n9fT2AWeqtbG
ZmiqflpZ1a3d0SqscmSHCrApCESd27GuzHw3uAgcYLhS0kGoHwZU6iGl/ZSRiJORiiOeHrVCO04L
q8vGdMpJD84PdyMwnxZSc6FJQxSLoJkFIl9o3jYFL0y14IfUcRWhXFAm8yCt7DNHzYdljN7whGrz
IYK7DuIr5YNatBT/R8u7kAR+fwyMO0dtMcMa1J9xZgwm9dBMniEX45xSZPWmaVpCzYvwpKgN2mwp
eIu1hy2bT0d2Ksf2GepS9dQ06TZ7A/yLCIJepQCrKtXTPMsRdoUmOKkD8jSlQahLMaRl2INlbZXm
u5n7X6IIRauycaaF6tNRV9HxqjwGN6a3DjFh/GIFA0247EdC8RDGn76GWHGh2PlPWuLzxu+XDYq7
05TsfirXpXZoxsVhbibrvjbmuqedDUp0Bviox7QFpKuchV/lzr0xEqla1ZGTTX3Juilrz+C21WM3
px4h2bR/iyIRRk7yZTLUa5ngVUThZRB4c7OJv3Vy+cNwygzBW1zMBmDPdhk1M1SnRDqagiZncA1d
Wrcxek+mTELcOEMEnNc6RkvijlxZm1X18DXX1GbSKvkir0TTvB6L2dC3h5E7ylBb5dMu7n74jPXc
1HJ3mppBAcouv9XS/MThJGza2SL04QLYGJzVMt4apaCMxF2BWi/ROgqbox6iELZZMXzwwbivO+Ok
KxDfTOzwuHCBEQd5Ek3pMi5Dv/puh8URh+obJRq/KFJ1wf1xeNONidM52POhFsQNz7yx7WaOEp3Y
BXCmZpQvK0f7PtROfubpqMIFvdSvaWZKh/RQADGD1W+j4kpvpAc/jy5tMzXQdIN0MNE1tzp0La4y
lr6xSqgrly5whFCj/J0k6kUoU4y3Nd0EDlaNEymzommSMYkHO4YT4llneMgDd+iwrUGQDsKSB8tb
lWX82eQ7e0SD+DG8/H8QZ59vcasZ55/+T+Kn5xmcnOts/mi2+crO82/9pZfi7PYLPUfaLe6er4Ow
Ab71XdB+vKfHe/ndJeINrInmHudQDakgQ2ffUBzMn/lQHYuz1Hv+MeU2IrRiUQYmL378vH6N22/+
o6npr0bqPx0EDhBvjyLCV+E/GAmu82YoqLYDCeZE8vihzPRmKHAKUAFIWULLgpPSq3nynz3f3xmn
X7/FD2Mgqoo7j4GDRKcDrEDhauIjRuj1dBBuCbJNEUJU6vdyEAR47c059u8sibcTwUA+C/aeI5zg
xOf9mlCBy5n8MUi1PR0EcfrdcRDoTzlofaMD/rQaGNY3M4GNgXo2AmPW06zbw+XAe9t5EIQcDXRq
nvHN0zMFAEsKcfKnffPpq/ZvDITr4I5jAGxUTAGY+79YDXQeKb7D6WfD5Lv2bxDELrbzIBiKiv72
r1aDqB4TR9kS9nUmCKXjHQcBxo3Q5TfI5B8/77cEggMQYRJ852kP3sOZQFV/x0GwBYpapQkPiUh8
PkRIgoMtYqj+VFDZv0EQpY/dBkGXD3QCg/BdffowrO+3R5MfCwWwx+/av0GQ37eL/vkxAR0zOkWO
pmETKT5blgN5sm2A7tjTQRBNrt1mAvkDGivgUfRf5A8ESs1WFQXg654Ogrz7clAOLAEuUMV0EJ8P
mYNOiNQ1MoenSLR/y+H5OP9kPfxnWvd/JJJvTs0I/Fi4xnBwfo4OxJu3e4JKrRdbADgeezoThOnf
jssBtwIDiAlCBE8z4cMgIIso00pV9jY6CIjWjoNgH1iIQtHofR6DD4PA4VmQY8E0P4aPfT0y6bsf
nq0DjQyCNOF5Z/gQI5QDgGwKnpD7mk8L0cwd5wOka8hlBk317YtCpJI4pSN0va+D8BzBd9geNfOA
Y6MmeuhPRybm1tvtEVcuk+MCdbY93R7lpxvbZRAg5oOjUbDEe//0KsdqbGMYoD19emX34GAcaNZj
Dvm07X2oK7EOxImS5um+npqVnetKpA6iP6wDVX4/BfQD0LvslICXHz97OhGExv2OG6J6AKwaCqSQ
n3izCSBqgYOyTd/7+fywp2Og7B4ZGQOe30BqY3sKqRgHHBYJGtTfxGdfDwnK7kV384AVT2dB/8Wh
UfRg+Bm1pb3dF5527V1CAydnGZtj8JW/OCSIwotjojW6r9m0QJ7vuDHYdOOEAs3zDvghkWQmIAtp
g4nZ10PC8xFul5lAFGRX4BEB8YiPSDPf9aDQ6VEwI33K3Pcvm35ep7sMgn4gG6qqQZt4Wg4fIgVT
BTQwdnlPdch93R6fyz47DAWFBYpLQkcJlQnx+XBwkA8MGB46B6c9DZfqzscm6mykBiQPCHc8ft6n
D+wMjokFDz7xT6O0p0Oh7V5eoOTI4UlX9eeh4K2/3R+woHSIpo7zlGrt7dLYPWhSXpAxhvozYLzf
Jai+6ui7skmgrcJnX4dC230obDTf6FjTs3+a/8yz97MC0iT/kIHt81AIhZ0dTxHmAZ4sj0TQxyeV
tywQlL90ALdPw75/AVQkhzsOAvEREqvOofkXgwCahw6VzI66p1vlcxVgh9CpcVxEDdTW4C49frbM
BMTYqT6KoMqA799M+ABL/+d9OgFgUEgkOTU/fnjf73cGg7OkMCDe00EQdYIdl4NGuk3F3TZ/Beex
6FyAZsHUYU8H4bkyuMtyINHW4M/DU3iaCVsOUaoj6vHPjdH9Ww7PiLNdBsHGUPtxLjwPwrY9QSig
4p+x1ydJffd0m3I0tBQKjk9Hgo+BUj7ghzLHq/0+SWq75xekD/iz0LN77tF8OD7JB8A5yMKey5/7
tzSE+9uOm+RjkgU/6KX6+mEQODOodOvQ8N/TTVLIIO84CBqIDtmAaPy0R37sUpB0CL6WYu1rDUrb
fWegFwHMmTr8cw3q/SZJoR7Ui8xGuqcTQd99S9BhvbP3ESv+DARvzk2iLO3ACUG7Za8DhbZ7MmHR
tBLGVJReXx71zVCAfGSsQL88b0L7tzsK2ZPdNgbRuaNPQenl+XVv2R1FPsV02NfdUd+9zEAb39LR
dX8pRn6ouECQoELPEXNvM6qddwZmAl05kwL1L3YGwZRhXwAP/VSi29v58JTw7XCaZiggQNCyRcdr
e3Kpgn8kloCL29dIsfu5iQwbLTNA0c/z4cOigAAOKo6S7N4Owu4xQvTuyLBF3e3xw6R/HyMQUiOT
2Fvon757mQFNcB1HYsP8Ve9OgT8mGlfI4Yh4tH+BUkj47BYoNaGZ7phUH5/3hPeHR7ZH8B9IEQha
0V4OwgcxpX9edYM/ZtHL50Dwfh0AFLboWwL22den/4z8QdQNNPlX3ADRyHeosZjP8Mq/tQ7+xl/6
k3s89YP4/pGaHDxU28jJv/oLL5zcjz9/xbl9ZB6/+ZuCqvz05U/MXPH//7O5T4J0FlR1GdzV6uNi
f/XTl8X/+E3Pv//8iB+//M2XvTzXyx+ugodyU94hRPDIxX6+0dNNAsP5f2P+db/Zzhj+627++7/e
3uyrTeD3V8f+9eH9xUW16OXPtnC4X59Cf3vxZHOflS8XOrz/7/+il4HFnUjJd77zCQ7h226cm9v5
2tNNvGl5JdXLtV7dO5vh7tfH76L68EoZGBbuJ1w8rcvNH9Osqrd9BdvZzl8xe4j/OM3KrePPQWTn
68/jP2ZZyeR5udar8Se87Xz9RflQpdsuTlDf+eLL+CFNX67z6sY5pu587VWT/Mji+/rlUn9dXiBb
d778YZI/lMEmfrnUq8t/xpI9xC10y6U/Y8UePZRbxlwAanYelKMg9bZsBAI3ufO1jzfRlj1MYNA+
4dJV9bBtTD5jgR5n1R//m3oP8cO2kfmMJXqyuWcDfhmHVxPxM5boyQaT+C3X/owlKq6NrcGWWxco
qp1f68lDep/dBdt2L0Hd/oTrl3cP9y8X+mvcBfNv94tn3PvLdV5d+zOW6Um2dUw+Y5Vy6fqhfBi2
3PlnrNTTTb5ttnzGOj19aDcfz46GLKAZO7/Ns3LDFvByoVev8zOW6Hm8uXvYcnYUDeSd7/wcJ4Zt
hzvRh9z54pcBR8cquN8yMqK7tfP1rzZ3JSlBWm+JpQKH9glfkP4xecBzcNsXfMZSvdqILyjTTXm/
dSMT/a9PeYpZ8OBte4jPWLXiIRasgLugutv2HZ+xfMV3rLNN0WyLVgKJ+imjdNwE1R9nP4Iq3/Yc
n7GYxXOcbOqHbdf/jPXM9evNH5NN+WOz7cwgeomfMVJ8xxRj3y2bteinf9Y3lM34crG/9lTR+dn9
C/zN1pxQ/5RFTQ1j69B8ymIOqigYsuZlEF4NzKes5SzebDs9iEr37qPOwSTZNmc+Zf3WG8Se401T
vdzpq6H5lKUryixb4rCwVNl5aK4f/M22oTE+Y8Fec8YP6i2HNtFK3v3Wf2fx/VjF26Fwdt381hB1
18v/3uBn16v/xqpg50v/WsX595feVpb9s3nzsVj7omy47dfe1qLF37iLHzbl//w/AAAA//8=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image" Target="../media/image4.emf"/><Relationship Id="rId6" Type="http://schemas.openxmlformats.org/officeDocument/2006/relationships/chart" Target="../charts/chart4.xml"/><Relationship Id="rId11" Type="http://schemas.openxmlformats.org/officeDocument/2006/relationships/image" Target="../media/image5.png"/><Relationship Id="rId5" Type="http://schemas.microsoft.com/office/2014/relationships/chartEx" Target="../charts/chartEx2.xml"/><Relationship Id="rId10" Type="http://schemas.openxmlformats.org/officeDocument/2006/relationships/chart" Target="../charts/chart8.xml"/><Relationship Id="rId4" Type="http://schemas.microsoft.com/office/2014/relationships/chartEx" Target="../charts/chartEx1.xml"/><Relationship Id="rId9"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819150</xdr:colOff>
      <xdr:row>18</xdr:row>
      <xdr:rowOff>171450</xdr:rowOff>
    </xdr:from>
    <xdr:to>
      <xdr:col>13</xdr:col>
      <xdr:colOff>552450</xdr:colOff>
      <xdr:row>48</xdr:row>
      <xdr:rowOff>76200</xdr:rowOff>
    </xdr:to>
    <xdr:graphicFrame macro="">
      <xdr:nvGraphicFramePr>
        <xdr:cNvPr id="4" name="Chart 3">
          <a:extLst>
            <a:ext uri="{FF2B5EF4-FFF2-40B4-BE49-F238E27FC236}">
              <a16:creationId xmlns:a16="http://schemas.microsoft.com/office/drawing/2014/main" id="{B1F7CE58-02D9-E8DE-EFF4-F0AC60438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387927</xdr:colOff>
      <xdr:row>0</xdr:row>
      <xdr:rowOff>0</xdr:rowOff>
    </xdr:from>
    <xdr:to>
      <xdr:col>35</xdr:col>
      <xdr:colOff>27709</xdr:colOff>
      <xdr:row>65</xdr:row>
      <xdr:rowOff>167640</xdr:rowOff>
    </xdr:to>
    <xdr:sp macro="" textlink="">
      <xdr:nvSpPr>
        <xdr:cNvPr id="4" name="Rectangle 3">
          <a:extLst>
            <a:ext uri="{FF2B5EF4-FFF2-40B4-BE49-F238E27FC236}">
              <a16:creationId xmlns:a16="http://schemas.microsoft.com/office/drawing/2014/main" id="{F9189385-2BFC-4837-84C0-FE08F290ABCB}"/>
            </a:ext>
          </a:extLst>
        </xdr:cNvPr>
        <xdr:cNvSpPr/>
      </xdr:nvSpPr>
      <xdr:spPr>
        <a:xfrm>
          <a:off x="997527" y="0"/>
          <a:ext cx="20366182" cy="11874731"/>
        </a:xfrm>
        <a:prstGeom prst="rect">
          <a:avLst/>
        </a:prstGeom>
        <a:solidFill>
          <a:schemeClr val="accent5">
            <a:lumMod val="60000"/>
            <a:lumOff val="40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a:p>
      </xdr:txBody>
    </xdr:sp>
    <xdr:clientData/>
  </xdr:twoCellAnchor>
  <xdr:twoCellAnchor>
    <xdr:from>
      <xdr:col>12</xdr:col>
      <xdr:colOff>362239</xdr:colOff>
      <xdr:row>1</xdr:row>
      <xdr:rowOff>168274</xdr:rowOff>
    </xdr:from>
    <xdr:to>
      <xdr:col>21</xdr:col>
      <xdr:colOff>542348</xdr:colOff>
      <xdr:row>19</xdr:row>
      <xdr:rowOff>182129</xdr:rowOff>
    </xdr:to>
    <xdr:sp macro="" textlink="">
      <xdr:nvSpPr>
        <xdr:cNvPr id="21" name="Rectangle 20">
          <a:extLst>
            <a:ext uri="{FF2B5EF4-FFF2-40B4-BE49-F238E27FC236}">
              <a16:creationId xmlns:a16="http://schemas.microsoft.com/office/drawing/2014/main" id="{235809B5-D5AD-CC5B-26F4-13B58E5307FB}"/>
            </a:ext>
          </a:extLst>
        </xdr:cNvPr>
        <xdr:cNvSpPr/>
      </xdr:nvSpPr>
      <xdr:spPr>
        <a:xfrm>
          <a:off x="7601239" y="358774"/>
          <a:ext cx="5609359" cy="3442855"/>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38100</xdr:colOff>
      <xdr:row>0</xdr:row>
      <xdr:rowOff>7621</xdr:rowOff>
    </xdr:from>
    <xdr:to>
      <xdr:col>0</xdr:col>
      <xdr:colOff>106680</xdr:colOff>
      <xdr:row>0</xdr:row>
      <xdr:rowOff>53340</xdr:rowOff>
    </xdr:to>
    <xdr:sp macro="" textlink="">
      <xdr:nvSpPr>
        <xdr:cNvPr id="2" name="Rectangle 1">
          <a:extLst>
            <a:ext uri="{FF2B5EF4-FFF2-40B4-BE49-F238E27FC236}">
              <a16:creationId xmlns:a16="http://schemas.microsoft.com/office/drawing/2014/main" id="{E5B2B438-A0BF-1B64-1DB7-88D6A415DB32}"/>
            </a:ext>
          </a:extLst>
        </xdr:cNvPr>
        <xdr:cNvSpPr/>
      </xdr:nvSpPr>
      <xdr:spPr>
        <a:xfrm>
          <a:off x="38100" y="7621"/>
          <a:ext cx="68580"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5603</xdr:rowOff>
    </xdr:from>
    <xdr:to>
      <xdr:col>2</xdr:col>
      <xdr:colOff>594360</xdr:colOff>
      <xdr:row>66</xdr:row>
      <xdr:rowOff>5603</xdr:rowOff>
    </xdr:to>
    <xdr:sp macro="" textlink="">
      <xdr:nvSpPr>
        <xdr:cNvPr id="3" name="Rectangle 2">
          <a:extLst>
            <a:ext uri="{FF2B5EF4-FFF2-40B4-BE49-F238E27FC236}">
              <a16:creationId xmlns:a16="http://schemas.microsoft.com/office/drawing/2014/main" id="{87A28CF0-3696-9D38-996B-8E1C4095614B}"/>
            </a:ext>
          </a:extLst>
        </xdr:cNvPr>
        <xdr:cNvSpPr/>
      </xdr:nvSpPr>
      <xdr:spPr>
        <a:xfrm>
          <a:off x="0" y="5603"/>
          <a:ext cx="1815801" cy="12018309"/>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r"/>
          <a:endParaRPr lang="en-IN" sz="1100">
            <a:solidFill>
              <a:schemeClr val="accent5">
                <a:lumMod val="60000"/>
                <a:lumOff val="40000"/>
              </a:schemeClr>
            </a:solidFill>
          </a:endParaRPr>
        </a:p>
      </xdr:txBody>
    </xdr:sp>
    <xdr:clientData/>
  </xdr:twoCellAnchor>
  <xdr:twoCellAnchor>
    <xdr:from>
      <xdr:col>0</xdr:col>
      <xdr:colOff>129540</xdr:colOff>
      <xdr:row>13</xdr:row>
      <xdr:rowOff>45720</xdr:rowOff>
    </xdr:from>
    <xdr:to>
      <xdr:col>2</xdr:col>
      <xdr:colOff>259080</xdr:colOff>
      <xdr:row>16</xdr:row>
      <xdr:rowOff>30480</xdr:rowOff>
    </xdr:to>
    <xdr:sp macro="" textlink="">
      <xdr:nvSpPr>
        <xdr:cNvPr id="6" name="Rectangle 5">
          <a:extLst>
            <a:ext uri="{FF2B5EF4-FFF2-40B4-BE49-F238E27FC236}">
              <a16:creationId xmlns:a16="http://schemas.microsoft.com/office/drawing/2014/main" id="{C8B009FE-382A-079E-0670-474E4A5B49E9}"/>
            </a:ext>
          </a:extLst>
        </xdr:cNvPr>
        <xdr:cNvSpPr/>
      </xdr:nvSpPr>
      <xdr:spPr>
        <a:xfrm>
          <a:off x="129540" y="2423160"/>
          <a:ext cx="1348740" cy="53340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r>
            <a:rPr lang="en-IN" sz="1800">
              <a:solidFill>
                <a:schemeClr val="bg1"/>
              </a:solidFill>
            </a:rPr>
            <a:t>2.3</a:t>
          </a:r>
        </a:p>
      </xdr:txBody>
    </xdr:sp>
    <xdr:clientData/>
  </xdr:twoCellAnchor>
  <xdr:twoCellAnchor>
    <xdr:from>
      <xdr:col>0</xdr:col>
      <xdr:colOff>99060</xdr:colOff>
      <xdr:row>1</xdr:row>
      <xdr:rowOff>15240</xdr:rowOff>
    </xdr:from>
    <xdr:to>
      <xdr:col>2</xdr:col>
      <xdr:colOff>53340</xdr:colOff>
      <xdr:row>2</xdr:row>
      <xdr:rowOff>167640</xdr:rowOff>
    </xdr:to>
    <xdr:sp macro="" textlink="">
      <xdr:nvSpPr>
        <xdr:cNvPr id="11" name="Rectangle 10">
          <a:extLst>
            <a:ext uri="{FF2B5EF4-FFF2-40B4-BE49-F238E27FC236}">
              <a16:creationId xmlns:a16="http://schemas.microsoft.com/office/drawing/2014/main" id="{FC142054-C40F-429B-9A68-285FF6E53E14}"/>
            </a:ext>
          </a:extLst>
        </xdr:cNvPr>
        <xdr:cNvSpPr/>
      </xdr:nvSpPr>
      <xdr:spPr>
        <a:xfrm>
          <a:off x="99060" y="198120"/>
          <a:ext cx="1173480" cy="33528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lvl="0" algn="l"/>
          <a:r>
            <a:rPr lang="en-IN" sz="1800">
              <a:solidFill>
                <a:schemeClr val="bg1"/>
              </a:solidFill>
            </a:rPr>
            <a:t>2400</a:t>
          </a:r>
        </a:p>
      </xdr:txBody>
    </xdr:sp>
    <xdr:clientData/>
  </xdr:twoCellAnchor>
  <xdr:twoCellAnchor>
    <xdr:from>
      <xdr:col>0</xdr:col>
      <xdr:colOff>137160</xdr:colOff>
      <xdr:row>10</xdr:row>
      <xdr:rowOff>129540</xdr:rowOff>
    </xdr:from>
    <xdr:to>
      <xdr:col>1</xdr:col>
      <xdr:colOff>358140</xdr:colOff>
      <xdr:row>12</xdr:row>
      <xdr:rowOff>83820</xdr:rowOff>
    </xdr:to>
    <xdr:sp macro="" textlink="">
      <xdr:nvSpPr>
        <xdr:cNvPr id="13" name="Rectangle 12">
          <a:extLst>
            <a:ext uri="{FF2B5EF4-FFF2-40B4-BE49-F238E27FC236}">
              <a16:creationId xmlns:a16="http://schemas.microsoft.com/office/drawing/2014/main" id="{4569FB9C-F7CB-BAFA-B921-E32728A28ECF}"/>
            </a:ext>
          </a:extLst>
        </xdr:cNvPr>
        <xdr:cNvSpPr/>
      </xdr:nvSpPr>
      <xdr:spPr>
        <a:xfrm>
          <a:off x="137160" y="1958340"/>
          <a:ext cx="830580" cy="32004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r>
            <a:rPr lang="en-IN" sz="1800">
              <a:solidFill>
                <a:schemeClr val="bg1"/>
              </a:solidFill>
            </a:rPr>
            <a:t>4.0</a:t>
          </a:r>
        </a:p>
      </xdr:txBody>
    </xdr:sp>
    <xdr:clientData/>
  </xdr:twoCellAnchor>
  <xdr:twoCellAnchor>
    <xdr:from>
      <xdr:col>0</xdr:col>
      <xdr:colOff>99060</xdr:colOff>
      <xdr:row>4</xdr:row>
      <xdr:rowOff>83820</xdr:rowOff>
    </xdr:from>
    <xdr:to>
      <xdr:col>1</xdr:col>
      <xdr:colOff>441960</xdr:colOff>
      <xdr:row>6</xdr:row>
      <xdr:rowOff>7620</xdr:rowOff>
    </xdr:to>
    <xdr:sp macro="" textlink="">
      <xdr:nvSpPr>
        <xdr:cNvPr id="17" name="Rectangle 16">
          <a:extLst>
            <a:ext uri="{FF2B5EF4-FFF2-40B4-BE49-F238E27FC236}">
              <a16:creationId xmlns:a16="http://schemas.microsoft.com/office/drawing/2014/main" id="{5AC63C65-3C53-2E56-6D92-EA22A2DE247E}"/>
            </a:ext>
          </a:extLst>
        </xdr:cNvPr>
        <xdr:cNvSpPr/>
      </xdr:nvSpPr>
      <xdr:spPr>
        <a:xfrm>
          <a:off x="99060" y="815340"/>
          <a:ext cx="952500" cy="28956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r>
            <a:rPr lang="en-IN" sz="1800">
              <a:solidFill>
                <a:schemeClr val="bg1"/>
              </a:solidFill>
            </a:rPr>
            <a:t>11,997</a:t>
          </a:r>
        </a:p>
      </xdr:txBody>
    </xdr:sp>
    <xdr:clientData/>
  </xdr:twoCellAnchor>
  <xdr:twoCellAnchor>
    <xdr:from>
      <xdr:col>0</xdr:col>
      <xdr:colOff>121920</xdr:colOff>
      <xdr:row>8</xdr:row>
      <xdr:rowOff>0</xdr:rowOff>
    </xdr:from>
    <xdr:to>
      <xdr:col>1</xdr:col>
      <xdr:colOff>563880</xdr:colOff>
      <xdr:row>9</xdr:row>
      <xdr:rowOff>83820</xdr:rowOff>
    </xdr:to>
    <xdr:sp macro="" textlink="">
      <xdr:nvSpPr>
        <xdr:cNvPr id="18" name="Rectangle 17">
          <a:extLst>
            <a:ext uri="{FF2B5EF4-FFF2-40B4-BE49-F238E27FC236}">
              <a16:creationId xmlns:a16="http://schemas.microsoft.com/office/drawing/2014/main" id="{613E63D1-02A5-94F8-811E-889DB0CDD51F}"/>
            </a:ext>
          </a:extLst>
        </xdr:cNvPr>
        <xdr:cNvSpPr/>
      </xdr:nvSpPr>
      <xdr:spPr>
        <a:xfrm>
          <a:off x="121920" y="1463040"/>
          <a:ext cx="1051560" cy="26670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r>
            <a:rPr lang="en-IN" sz="1800">
              <a:solidFill>
                <a:srgbClr val="FFFF00"/>
              </a:solidFill>
            </a:rPr>
            <a:t>$649.OK</a:t>
          </a:r>
        </a:p>
      </xdr:txBody>
    </xdr:sp>
    <xdr:clientData/>
  </xdr:twoCellAnchor>
  <xdr:twoCellAnchor>
    <xdr:from>
      <xdr:col>0</xdr:col>
      <xdr:colOff>45720</xdr:colOff>
      <xdr:row>0</xdr:row>
      <xdr:rowOff>30480</xdr:rowOff>
    </xdr:from>
    <xdr:to>
      <xdr:col>2</xdr:col>
      <xdr:colOff>0</xdr:colOff>
      <xdr:row>1</xdr:row>
      <xdr:rowOff>91440</xdr:rowOff>
    </xdr:to>
    <xdr:sp macro="" textlink="">
      <xdr:nvSpPr>
        <xdr:cNvPr id="5" name="TextBox 4">
          <a:extLst>
            <a:ext uri="{FF2B5EF4-FFF2-40B4-BE49-F238E27FC236}">
              <a16:creationId xmlns:a16="http://schemas.microsoft.com/office/drawing/2014/main" id="{D925AFCF-D77F-D0B8-89BD-F472EB6789C1}"/>
            </a:ext>
          </a:extLst>
        </xdr:cNvPr>
        <xdr:cNvSpPr txBox="1"/>
      </xdr:nvSpPr>
      <xdr:spPr>
        <a:xfrm>
          <a:off x="45720" y="30480"/>
          <a:ext cx="1173480" cy="24384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100">
              <a:solidFill>
                <a:schemeClr val="tx2"/>
              </a:solidFill>
            </a:rPr>
            <a:t>🛒 </a:t>
          </a:r>
          <a:r>
            <a:rPr lang="en-US" sz="1100">
              <a:solidFill>
                <a:schemeClr val="bg1"/>
              </a:solidFill>
            </a:rPr>
            <a:t>Orders</a:t>
          </a:r>
          <a:r>
            <a:rPr lang="en-US" sz="1100">
              <a:solidFill>
                <a:schemeClr val="tx2"/>
              </a:solidFill>
            </a:rPr>
            <a:t>:</a:t>
          </a:r>
          <a:endParaRPr lang="en-IN" sz="1100">
            <a:solidFill>
              <a:schemeClr val="tx2"/>
            </a:solidFill>
          </a:endParaRPr>
        </a:p>
      </xdr:txBody>
    </xdr:sp>
    <xdr:clientData/>
  </xdr:twoCellAnchor>
  <xdr:twoCellAnchor>
    <xdr:from>
      <xdr:col>0</xdr:col>
      <xdr:colOff>83820</xdr:colOff>
      <xdr:row>3</xdr:row>
      <xdr:rowOff>91440</xdr:rowOff>
    </xdr:from>
    <xdr:to>
      <xdr:col>2</xdr:col>
      <xdr:colOff>30480</xdr:colOff>
      <xdr:row>5</xdr:row>
      <xdr:rowOff>60960</xdr:rowOff>
    </xdr:to>
    <xdr:sp macro="" textlink="">
      <xdr:nvSpPr>
        <xdr:cNvPr id="7" name="TextBox 6">
          <a:extLst>
            <a:ext uri="{FF2B5EF4-FFF2-40B4-BE49-F238E27FC236}">
              <a16:creationId xmlns:a16="http://schemas.microsoft.com/office/drawing/2014/main" id="{1F0D782B-03E7-DF1B-ED30-81BDD7C29FCC}"/>
            </a:ext>
          </a:extLst>
        </xdr:cNvPr>
        <xdr:cNvSpPr txBox="1"/>
      </xdr:nvSpPr>
      <xdr:spPr>
        <a:xfrm>
          <a:off x="83820" y="640080"/>
          <a:ext cx="1165860" cy="33528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100">
              <a:solidFill>
                <a:schemeClr val="tx2"/>
              </a:solidFill>
            </a:rPr>
            <a:t>👕 </a:t>
          </a:r>
          <a:r>
            <a:rPr lang="en-US" sz="1100">
              <a:solidFill>
                <a:schemeClr val="bg1"/>
              </a:solidFill>
            </a:rPr>
            <a:t>Quantity</a:t>
          </a:r>
          <a:r>
            <a:rPr lang="en-US" sz="1100">
              <a:solidFill>
                <a:schemeClr val="tx2"/>
              </a:solidFill>
            </a:rPr>
            <a:t>:</a:t>
          </a:r>
          <a:endParaRPr lang="en-IN" sz="1100">
            <a:solidFill>
              <a:schemeClr val="tx2"/>
            </a:solidFill>
          </a:endParaRPr>
        </a:p>
      </xdr:txBody>
    </xdr:sp>
    <xdr:clientData/>
  </xdr:twoCellAnchor>
  <xdr:twoCellAnchor>
    <xdr:from>
      <xdr:col>0</xdr:col>
      <xdr:colOff>91440</xdr:colOff>
      <xdr:row>6</xdr:row>
      <xdr:rowOff>137160</xdr:rowOff>
    </xdr:from>
    <xdr:to>
      <xdr:col>1</xdr:col>
      <xdr:colOff>419100</xdr:colOff>
      <xdr:row>8</xdr:row>
      <xdr:rowOff>137160</xdr:rowOff>
    </xdr:to>
    <xdr:sp macro="" textlink="">
      <xdr:nvSpPr>
        <xdr:cNvPr id="8" name="TextBox 7">
          <a:extLst>
            <a:ext uri="{FF2B5EF4-FFF2-40B4-BE49-F238E27FC236}">
              <a16:creationId xmlns:a16="http://schemas.microsoft.com/office/drawing/2014/main" id="{5FE6C27F-5650-D665-06D6-971D7266C9D7}"/>
            </a:ext>
          </a:extLst>
        </xdr:cNvPr>
        <xdr:cNvSpPr txBox="1"/>
      </xdr:nvSpPr>
      <xdr:spPr>
        <a:xfrm>
          <a:off x="91440" y="1234440"/>
          <a:ext cx="937260" cy="36576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100">
              <a:solidFill>
                <a:schemeClr val="tx2"/>
              </a:solidFill>
            </a:rPr>
            <a:t>💰 </a:t>
          </a:r>
          <a:r>
            <a:rPr lang="en-US" sz="1100">
              <a:solidFill>
                <a:schemeClr val="bg1"/>
              </a:solidFill>
            </a:rPr>
            <a:t>Amount</a:t>
          </a:r>
          <a:r>
            <a:rPr lang="en-US" sz="1100">
              <a:solidFill>
                <a:schemeClr val="tx2"/>
              </a:solidFill>
            </a:rPr>
            <a:t>:</a:t>
          </a:r>
          <a:endParaRPr lang="en-IN" sz="1100">
            <a:solidFill>
              <a:schemeClr val="tx2"/>
            </a:solidFill>
          </a:endParaRPr>
        </a:p>
      </xdr:txBody>
    </xdr:sp>
    <xdr:clientData/>
  </xdr:twoCellAnchor>
  <xdr:twoCellAnchor>
    <xdr:from>
      <xdr:col>0</xdr:col>
      <xdr:colOff>83820</xdr:colOff>
      <xdr:row>9</xdr:row>
      <xdr:rowOff>137160</xdr:rowOff>
    </xdr:from>
    <xdr:to>
      <xdr:col>2</xdr:col>
      <xdr:colOff>83820</xdr:colOff>
      <xdr:row>11</xdr:row>
      <xdr:rowOff>0</xdr:rowOff>
    </xdr:to>
    <xdr:sp macro="" textlink="">
      <xdr:nvSpPr>
        <xdr:cNvPr id="9" name="TextBox 8">
          <a:extLst>
            <a:ext uri="{FF2B5EF4-FFF2-40B4-BE49-F238E27FC236}">
              <a16:creationId xmlns:a16="http://schemas.microsoft.com/office/drawing/2014/main" id="{8D2254FE-4189-61EC-8BFD-DA73812DD5A6}"/>
            </a:ext>
          </a:extLst>
        </xdr:cNvPr>
        <xdr:cNvSpPr txBox="1"/>
      </xdr:nvSpPr>
      <xdr:spPr>
        <a:xfrm>
          <a:off x="83820" y="1772180"/>
          <a:ext cx="1221219" cy="226178"/>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100">
              <a:solidFill>
                <a:schemeClr val="tx2"/>
              </a:solidFill>
            </a:rPr>
            <a:t>⭐ </a:t>
          </a:r>
          <a:r>
            <a:rPr lang="en-US" sz="1100">
              <a:solidFill>
                <a:schemeClr val="bg1"/>
              </a:solidFill>
            </a:rPr>
            <a:t>Avg.</a:t>
          </a:r>
          <a:r>
            <a:rPr lang="en-US" sz="1100" baseline="0">
              <a:solidFill>
                <a:schemeClr val="bg1"/>
              </a:solidFill>
            </a:rPr>
            <a:t> Rating</a:t>
          </a:r>
          <a:endParaRPr lang="en-IN" sz="1100">
            <a:solidFill>
              <a:schemeClr val="bg1"/>
            </a:solidFill>
          </a:endParaRPr>
        </a:p>
      </xdr:txBody>
    </xdr:sp>
    <xdr:clientData/>
  </xdr:twoCellAnchor>
  <xdr:twoCellAnchor>
    <xdr:from>
      <xdr:col>0</xdr:col>
      <xdr:colOff>91440</xdr:colOff>
      <xdr:row>12</xdr:row>
      <xdr:rowOff>53340</xdr:rowOff>
    </xdr:from>
    <xdr:to>
      <xdr:col>2</xdr:col>
      <xdr:colOff>144780</xdr:colOff>
      <xdr:row>13</xdr:row>
      <xdr:rowOff>126159</xdr:rowOff>
    </xdr:to>
    <xdr:sp macro="" textlink="">
      <xdr:nvSpPr>
        <xdr:cNvPr id="10" name="TextBox 9">
          <a:extLst>
            <a:ext uri="{FF2B5EF4-FFF2-40B4-BE49-F238E27FC236}">
              <a16:creationId xmlns:a16="http://schemas.microsoft.com/office/drawing/2014/main" id="{CABF12F7-DA8F-B66E-6072-C58C37327291}"/>
            </a:ext>
          </a:extLst>
        </xdr:cNvPr>
        <xdr:cNvSpPr txBox="1"/>
      </xdr:nvSpPr>
      <xdr:spPr>
        <a:xfrm>
          <a:off x="91440" y="2233366"/>
          <a:ext cx="1274559" cy="254488"/>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100">
              <a:solidFill>
                <a:schemeClr val="tx2"/>
              </a:solidFill>
            </a:rPr>
            <a:t>🗓️ </a:t>
          </a:r>
          <a:r>
            <a:rPr lang="en-US" sz="1100">
              <a:solidFill>
                <a:schemeClr val="bg1"/>
              </a:solidFill>
            </a:rPr>
            <a:t>Days to Deliver:</a:t>
          </a:r>
          <a:endParaRPr lang="en-IN" sz="1100">
            <a:solidFill>
              <a:schemeClr val="bg1"/>
            </a:solidFill>
          </a:endParaRPr>
        </a:p>
      </xdr:txBody>
    </xdr:sp>
    <xdr:clientData/>
  </xdr:twoCellAnchor>
  <xdr:twoCellAnchor editAs="oneCell">
    <xdr:from>
      <xdr:col>13</xdr:col>
      <xdr:colOff>27708</xdr:colOff>
      <xdr:row>3</xdr:row>
      <xdr:rowOff>152401</xdr:rowOff>
    </xdr:from>
    <xdr:to>
      <xdr:col>21</xdr:col>
      <xdr:colOff>290945</xdr:colOff>
      <xdr:row>18</xdr:row>
      <xdr:rowOff>138546</xdr:rowOff>
    </xdr:to>
    <xdr:pic>
      <xdr:nvPicPr>
        <xdr:cNvPr id="20" name="Picture 19">
          <a:extLst>
            <a:ext uri="{FF2B5EF4-FFF2-40B4-BE49-F238E27FC236}">
              <a16:creationId xmlns:a16="http://schemas.microsoft.com/office/drawing/2014/main" id="{BF5CC065-04EF-C1E3-03B2-F16FA0647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52508" y="692728"/>
          <a:ext cx="5140037" cy="2687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263237</xdr:colOff>
      <xdr:row>1</xdr:row>
      <xdr:rowOff>166255</xdr:rowOff>
    </xdr:from>
    <xdr:to>
      <xdr:col>33</xdr:col>
      <xdr:colOff>363682</xdr:colOff>
      <xdr:row>19</xdr:row>
      <xdr:rowOff>166254</xdr:rowOff>
    </xdr:to>
    <xdr:graphicFrame macro="">
      <xdr:nvGraphicFramePr>
        <xdr:cNvPr id="15" name="Chart 14">
          <a:extLst>
            <a:ext uri="{FF2B5EF4-FFF2-40B4-BE49-F238E27FC236}">
              <a16:creationId xmlns:a16="http://schemas.microsoft.com/office/drawing/2014/main" id="{A860F761-7DE6-4FD0-AD93-EF3BE5094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138545</xdr:colOff>
      <xdr:row>49</xdr:row>
      <xdr:rowOff>76733</xdr:rowOff>
    </xdr:from>
    <xdr:to>
      <xdr:col>9</xdr:col>
      <xdr:colOff>540327</xdr:colOff>
      <xdr:row>58</xdr:row>
      <xdr:rowOff>104441</xdr:rowOff>
    </xdr:to>
    <xdr:graphicFrame macro="">
      <xdr:nvGraphicFramePr>
        <xdr:cNvPr id="19" name="Chart 18">
          <a:extLst>
            <a:ext uri="{FF2B5EF4-FFF2-40B4-BE49-F238E27FC236}">
              <a16:creationId xmlns:a16="http://schemas.microsoft.com/office/drawing/2014/main" id="{1852524C-FB51-4BF4-93E7-FE73A2366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351223</xdr:colOff>
      <xdr:row>22</xdr:row>
      <xdr:rowOff>60206</xdr:rowOff>
    </xdr:from>
    <xdr:to>
      <xdr:col>21</xdr:col>
      <xdr:colOff>574261</xdr:colOff>
      <xdr:row>64</xdr:row>
      <xdr:rowOff>144394</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98ED84CF-2258-45C8-8F86-7F0C139AF6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666423" y="4083566"/>
              <a:ext cx="5709438" cy="77651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19050</xdr:colOff>
      <xdr:row>28</xdr:row>
      <xdr:rowOff>57150</xdr:rowOff>
    </xdr:from>
    <xdr:to>
      <xdr:col>20</xdr:col>
      <xdr:colOff>514350</xdr:colOff>
      <xdr:row>42</xdr:row>
      <xdr:rowOff>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557F970D-8709-4B05-BEBF-9D75F18956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382250" y="5177790"/>
              <a:ext cx="2324100" cy="25031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235526</xdr:colOff>
      <xdr:row>22</xdr:row>
      <xdr:rowOff>51956</xdr:rowOff>
    </xdr:from>
    <xdr:to>
      <xdr:col>33</xdr:col>
      <xdr:colOff>415636</xdr:colOff>
      <xdr:row>42</xdr:row>
      <xdr:rowOff>121228</xdr:rowOff>
    </xdr:to>
    <xdr:graphicFrame macro="">
      <xdr:nvGraphicFramePr>
        <xdr:cNvPr id="23" name="Chart 22">
          <a:extLst>
            <a:ext uri="{FF2B5EF4-FFF2-40B4-BE49-F238E27FC236}">
              <a16:creationId xmlns:a16="http://schemas.microsoft.com/office/drawing/2014/main" id="{F5284F6C-5C84-4BDF-B240-3BC333FDC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242454</xdr:colOff>
      <xdr:row>45</xdr:row>
      <xdr:rowOff>-1</xdr:rowOff>
    </xdr:from>
    <xdr:to>
      <xdr:col>33</xdr:col>
      <xdr:colOff>380999</xdr:colOff>
      <xdr:row>64</xdr:row>
      <xdr:rowOff>121226</xdr:rowOff>
    </xdr:to>
    <xdr:graphicFrame macro="">
      <xdr:nvGraphicFramePr>
        <xdr:cNvPr id="24" name="Chart 23">
          <a:extLst>
            <a:ext uri="{FF2B5EF4-FFF2-40B4-BE49-F238E27FC236}">
              <a16:creationId xmlns:a16="http://schemas.microsoft.com/office/drawing/2014/main" id="{626296EC-3D22-4F06-9358-75A4ADDBC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125689</xdr:colOff>
      <xdr:row>17</xdr:row>
      <xdr:rowOff>31423</xdr:rowOff>
    </xdr:from>
    <xdr:to>
      <xdr:col>2</xdr:col>
      <xdr:colOff>463483</xdr:colOff>
      <xdr:row>28</xdr:row>
      <xdr:rowOff>47134</xdr:rowOff>
    </xdr:to>
    <mc:AlternateContent xmlns:mc="http://schemas.openxmlformats.org/markup-compatibility/2006" xmlns:a14="http://schemas.microsoft.com/office/drawing/2010/main">
      <mc:Choice Requires="a14">
        <xdr:graphicFrame macro="">
          <xdr:nvGraphicFramePr>
            <xdr:cNvPr id="25" name="Order Mode 1">
              <a:extLst>
                <a:ext uri="{FF2B5EF4-FFF2-40B4-BE49-F238E27FC236}">
                  <a16:creationId xmlns:a16="http://schemas.microsoft.com/office/drawing/2014/main" id="{2E081515-834D-4C1A-9DCD-C01DF4054900}"/>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25689" y="3269923"/>
              <a:ext cx="1556994" cy="2111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117835</xdr:colOff>
      <xdr:row>29</xdr:row>
      <xdr:rowOff>172825</xdr:rowOff>
    </xdr:from>
    <xdr:to>
      <xdr:col>2</xdr:col>
      <xdr:colOff>479196</xdr:colOff>
      <xdr:row>40</xdr:row>
      <xdr:rowOff>86413</xdr:rowOff>
    </xdr:to>
    <mc:AlternateContent xmlns:mc="http://schemas.openxmlformats.org/markup-compatibility/2006" xmlns:a14="http://schemas.microsoft.com/office/drawing/2010/main">
      <mc:Choice Requires="a14">
        <xdr:graphicFrame macro="">
          <xdr:nvGraphicFramePr>
            <xdr:cNvPr id="26" name="Gender Value 1">
              <a:extLst>
                <a:ext uri="{FF2B5EF4-FFF2-40B4-BE49-F238E27FC236}">
                  <a16:creationId xmlns:a16="http://schemas.microsoft.com/office/drawing/2014/main" id="{CD290A31-C143-49BA-9FFF-5C572F0E3B0E}"/>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17835" y="5697325"/>
              <a:ext cx="1580561" cy="2009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1</xdr:row>
      <xdr:rowOff>154781</xdr:rowOff>
    </xdr:from>
    <xdr:to>
      <xdr:col>12</xdr:col>
      <xdr:colOff>83343</xdr:colOff>
      <xdr:row>20</xdr:row>
      <xdr:rowOff>11906</xdr:rowOff>
    </xdr:to>
    <xdr:graphicFrame macro="">
      <xdr:nvGraphicFramePr>
        <xdr:cNvPr id="28" name="Chart 27">
          <a:extLst>
            <a:ext uri="{FF2B5EF4-FFF2-40B4-BE49-F238E27FC236}">
              <a16:creationId xmlns:a16="http://schemas.microsoft.com/office/drawing/2014/main" id="{A0A0878B-E7B5-4033-8E24-704BBE749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334335</xdr:colOff>
      <xdr:row>22</xdr:row>
      <xdr:rowOff>62524</xdr:rowOff>
    </xdr:from>
    <xdr:to>
      <xdr:col>12</xdr:col>
      <xdr:colOff>98808</xdr:colOff>
      <xdr:row>64</xdr:row>
      <xdr:rowOff>95459</xdr:rowOff>
    </xdr:to>
    <xdr:graphicFrame macro="">
      <xdr:nvGraphicFramePr>
        <xdr:cNvPr id="30" name="Chart 29">
          <a:extLst>
            <a:ext uri="{FF2B5EF4-FFF2-40B4-BE49-F238E27FC236}">
              <a16:creationId xmlns:a16="http://schemas.microsoft.com/office/drawing/2014/main" id="{4DD90399-257C-4F4B-8D7E-0A197401A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237606</xdr:colOff>
      <xdr:row>50</xdr:row>
      <xdr:rowOff>65852</xdr:rowOff>
    </xdr:from>
    <xdr:to>
      <xdr:col>10</xdr:col>
      <xdr:colOff>56446</xdr:colOff>
      <xdr:row>62</xdr:row>
      <xdr:rowOff>139147</xdr:rowOff>
    </xdr:to>
    <xdr:graphicFrame macro="">
      <xdr:nvGraphicFramePr>
        <xdr:cNvPr id="31" name="Chart 30">
          <a:extLst>
            <a:ext uri="{FF2B5EF4-FFF2-40B4-BE49-F238E27FC236}">
              <a16:creationId xmlns:a16="http://schemas.microsoft.com/office/drawing/2014/main" id="{7A9DD42B-338B-4135-ACE4-7659E8C6D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238125</xdr:colOff>
      <xdr:row>2</xdr:row>
      <xdr:rowOff>31750</xdr:rowOff>
    </xdr:from>
    <xdr:to>
      <xdr:col>18</xdr:col>
      <xdr:colOff>142875</xdr:colOff>
      <xdr:row>4</xdr:row>
      <xdr:rowOff>15875</xdr:rowOff>
    </xdr:to>
    <xdr:sp macro="" textlink="">
      <xdr:nvSpPr>
        <xdr:cNvPr id="32" name="TextBox 31">
          <a:extLst>
            <a:ext uri="{FF2B5EF4-FFF2-40B4-BE49-F238E27FC236}">
              <a16:creationId xmlns:a16="http://schemas.microsoft.com/office/drawing/2014/main" id="{F38BD151-2460-9D15-F41D-B647A79FBC2A}"/>
            </a:ext>
          </a:extLst>
        </xdr:cNvPr>
        <xdr:cNvSpPr txBox="1"/>
      </xdr:nvSpPr>
      <xdr:spPr>
        <a:xfrm>
          <a:off x="9890125" y="412750"/>
          <a:ext cx="1111250" cy="365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Like</a:t>
          </a:r>
          <a:r>
            <a:rPr lang="en-IN" sz="1400" b="1" baseline="0"/>
            <a:t> to  Buy</a:t>
          </a:r>
          <a:endParaRPr lang="en-IN" sz="1400" b="1"/>
        </a:p>
      </xdr:txBody>
    </xdr:sp>
    <xdr:clientData/>
  </xdr:twoCellAnchor>
  <xdr:twoCellAnchor>
    <xdr:from>
      <xdr:col>26</xdr:col>
      <xdr:colOff>365125</xdr:colOff>
      <xdr:row>3</xdr:row>
      <xdr:rowOff>79376</xdr:rowOff>
    </xdr:from>
    <xdr:to>
      <xdr:col>30</xdr:col>
      <xdr:colOff>301625</xdr:colOff>
      <xdr:row>5</xdr:row>
      <xdr:rowOff>47626</xdr:rowOff>
    </xdr:to>
    <xdr:sp macro="" textlink="">
      <xdr:nvSpPr>
        <xdr:cNvPr id="33" name="TextBox 32">
          <a:extLst>
            <a:ext uri="{FF2B5EF4-FFF2-40B4-BE49-F238E27FC236}">
              <a16:creationId xmlns:a16="http://schemas.microsoft.com/office/drawing/2014/main" id="{0707F648-FDAB-B711-1D1B-2BE5DA95A781}"/>
            </a:ext>
          </a:extLst>
        </xdr:cNvPr>
        <xdr:cNvSpPr txBox="1"/>
      </xdr:nvSpPr>
      <xdr:spPr>
        <a:xfrm>
          <a:off x="16049625" y="650876"/>
          <a:ext cx="2349500" cy="34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how many </a:t>
          </a:r>
          <a:r>
            <a:rPr lang="en-IN" sz="1200" b="1" baseline="0"/>
            <a:t> of them buy</a:t>
          </a:r>
          <a:endParaRPr lang="en-IN" sz="1200" b="1"/>
        </a:p>
      </xdr:txBody>
    </xdr:sp>
    <xdr:clientData/>
  </xdr:twoCellAnchor>
  <xdr:twoCellAnchor>
    <xdr:from>
      <xdr:col>27</xdr:col>
      <xdr:colOff>460375</xdr:colOff>
      <xdr:row>23</xdr:row>
      <xdr:rowOff>47625</xdr:rowOff>
    </xdr:from>
    <xdr:to>
      <xdr:col>31</xdr:col>
      <xdr:colOff>460375</xdr:colOff>
      <xdr:row>24</xdr:row>
      <xdr:rowOff>174625</xdr:rowOff>
    </xdr:to>
    <xdr:sp macro="" textlink="">
      <xdr:nvSpPr>
        <xdr:cNvPr id="34" name="TextBox 33">
          <a:extLst>
            <a:ext uri="{FF2B5EF4-FFF2-40B4-BE49-F238E27FC236}">
              <a16:creationId xmlns:a16="http://schemas.microsoft.com/office/drawing/2014/main" id="{AC5267F2-BC32-C415-D620-E61629882295}"/>
            </a:ext>
          </a:extLst>
        </xdr:cNvPr>
        <xdr:cNvSpPr txBox="1"/>
      </xdr:nvSpPr>
      <xdr:spPr>
        <a:xfrm>
          <a:off x="16748125" y="4429125"/>
          <a:ext cx="241300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Delivery</a:t>
          </a:r>
        </a:p>
      </xdr:txBody>
    </xdr:sp>
    <xdr:clientData/>
  </xdr:twoCellAnchor>
  <xdr:twoCellAnchor>
    <xdr:from>
      <xdr:col>26</xdr:col>
      <xdr:colOff>206375</xdr:colOff>
      <xdr:row>46</xdr:row>
      <xdr:rowOff>63500</xdr:rowOff>
    </xdr:from>
    <xdr:to>
      <xdr:col>30</xdr:col>
      <xdr:colOff>269875</xdr:colOff>
      <xdr:row>48</xdr:row>
      <xdr:rowOff>15875</xdr:rowOff>
    </xdr:to>
    <xdr:sp macro="" textlink="">
      <xdr:nvSpPr>
        <xdr:cNvPr id="35" name="TextBox 34">
          <a:extLst>
            <a:ext uri="{FF2B5EF4-FFF2-40B4-BE49-F238E27FC236}">
              <a16:creationId xmlns:a16="http://schemas.microsoft.com/office/drawing/2014/main" id="{38D8DD5F-CDCE-7C13-EA74-218F6BB54704}"/>
            </a:ext>
          </a:extLst>
        </xdr:cNvPr>
        <xdr:cNvSpPr txBox="1"/>
      </xdr:nvSpPr>
      <xdr:spPr>
        <a:xfrm>
          <a:off x="15890875" y="8826500"/>
          <a:ext cx="247650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Custmer Satisfaction</a:t>
          </a:r>
        </a:p>
      </xdr:txBody>
    </xdr:sp>
    <xdr:clientData/>
  </xdr:twoCellAnchor>
  <xdr:twoCellAnchor>
    <xdr:from>
      <xdr:col>5</xdr:col>
      <xdr:colOff>206374</xdr:colOff>
      <xdr:row>2</xdr:row>
      <xdr:rowOff>47625</xdr:rowOff>
    </xdr:from>
    <xdr:to>
      <xdr:col>10</xdr:col>
      <xdr:colOff>492125</xdr:colOff>
      <xdr:row>3</xdr:row>
      <xdr:rowOff>127000</xdr:rowOff>
    </xdr:to>
    <xdr:sp macro="" textlink="">
      <xdr:nvSpPr>
        <xdr:cNvPr id="36" name="TextBox 35">
          <a:extLst>
            <a:ext uri="{FF2B5EF4-FFF2-40B4-BE49-F238E27FC236}">
              <a16:creationId xmlns:a16="http://schemas.microsoft.com/office/drawing/2014/main" id="{07000220-AA87-079C-6457-6E81E5D10DCC}"/>
            </a:ext>
          </a:extLst>
        </xdr:cNvPr>
        <xdr:cNvSpPr txBox="1"/>
      </xdr:nvSpPr>
      <xdr:spPr>
        <a:xfrm>
          <a:off x="3222624" y="428625"/>
          <a:ext cx="3302001" cy="26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Last</a:t>
          </a:r>
          <a:r>
            <a:rPr lang="en-IN" sz="1400" b="1" baseline="0"/>
            <a:t> 13Weeks Trends-Quantity&amp;amount</a:t>
          </a:r>
          <a:endParaRPr lang="en-IN" sz="1400" b="1"/>
        </a:p>
      </xdr:txBody>
    </xdr:sp>
    <xdr:clientData/>
  </xdr:twoCellAnchor>
  <xdr:twoCellAnchor editAs="oneCell">
    <xdr:from>
      <xdr:col>0</xdr:col>
      <xdr:colOff>0</xdr:colOff>
      <xdr:row>55</xdr:row>
      <xdr:rowOff>169334</xdr:rowOff>
    </xdr:from>
    <xdr:to>
      <xdr:col>2</xdr:col>
      <xdr:colOff>477762</xdr:colOff>
      <xdr:row>65</xdr:row>
      <xdr:rowOff>102810</xdr:rowOff>
    </xdr:to>
    <xdr:pic>
      <xdr:nvPicPr>
        <xdr:cNvPr id="38" name="Picture 37">
          <a:extLst>
            <a:ext uri="{FF2B5EF4-FFF2-40B4-BE49-F238E27FC236}">
              <a16:creationId xmlns:a16="http://schemas.microsoft.com/office/drawing/2014/main" id="{8F55E42A-F287-8879-F020-7C6E10276F3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10147905"/>
          <a:ext cx="1699381" cy="1747762"/>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0.43251</cdr:x>
      <cdr:y>0.37778</cdr:y>
    </cdr:from>
    <cdr:to>
      <cdr:x>0.56749</cdr:x>
      <cdr:y>0.62222</cdr:y>
    </cdr:to>
    <cdr:sp macro="" textlink="">
      <cdr:nvSpPr>
        <cdr:cNvPr id="2" name="TextBox 1">
          <a:extLst xmlns:a="http://schemas.openxmlformats.org/drawingml/2006/main">
            <a:ext uri="{FF2B5EF4-FFF2-40B4-BE49-F238E27FC236}">
              <a16:creationId xmlns:a16="http://schemas.microsoft.com/office/drawing/2014/main" id="{3BA1879F-9900-4816-3CC4-FEC368E43A6F}"/>
            </a:ext>
          </a:extLst>
        </cdr:cNvPr>
        <cdr:cNvSpPr txBox="1"/>
      </cdr:nvSpPr>
      <cdr:spPr>
        <a:xfrm xmlns:a="http://schemas.openxmlformats.org/drawingml/2006/main">
          <a:off x="2929947" y="1413163"/>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0.34783</cdr:x>
      <cdr:y>0.01877</cdr:y>
    </cdr:from>
    <cdr:to>
      <cdr:x>0.84037</cdr:x>
      <cdr:y>0.11868</cdr:y>
    </cdr:to>
    <cdr:sp macro="" textlink="">
      <cdr:nvSpPr>
        <cdr:cNvPr id="2" name="TextBox 1">
          <a:extLst xmlns:a="http://schemas.openxmlformats.org/drawingml/2006/main">
            <a:ext uri="{FF2B5EF4-FFF2-40B4-BE49-F238E27FC236}">
              <a16:creationId xmlns:a16="http://schemas.microsoft.com/office/drawing/2014/main" id="{AD1237AB-0BCF-EFDE-6DF4-7F8452304E30}"/>
            </a:ext>
          </a:extLst>
        </cdr:cNvPr>
        <cdr:cNvSpPr txBox="1"/>
      </cdr:nvSpPr>
      <cdr:spPr>
        <a:xfrm xmlns:a="http://schemas.openxmlformats.org/drawingml/2006/main">
          <a:off x="1806543" y="150802"/>
          <a:ext cx="2558121" cy="8026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tx1"/>
              </a:solidFill>
            </a:rPr>
            <a:t>Products</a:t>
          </a:r>
          <a:r>
            <a:rPr lang="en-IN" sz="1400" b="1" kern="1200" baseline="0">
              <a:solidFill>
                <a:schemeClr val="tx1"/>
              </a:solidFill>
            </a:rPr>
            <a:t> are popular</a:t>
          </a:r>
        </a:p>
        <a:p xmlns:a="http://schemas.openxmlformats.org/drawingml/2006/main">
          <a:endParaRPr lang="en-IN" sz="1100" b="1" kern="1200">
            <a:solidFill>
              <a:schemeClr val="tx1"/>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11</xdr:col>
      <xdr:colOff>27842</xdr:colOff>
      <xdr:row>19</xdr:row>
      <xdr:rowOff>294</xdr:rowOff>
    </xdr:from>
    <xdr:to>
      <xdr:col>18</xdr:col>
      <xdr:colOff>459251</xdr:colOff>
      <xdr:row>34</xdr:row>
      <xdr:rowOff>293</xdr:rowOff>
    </xdr:to>
    <xdr:graphicFrame macro="">
      <xdr:nvGraphicFramePr>
        <xdr:cNvPr id="5" name="Chart 4">
          <a:extLst>
            <a:ext uri="{FF2B5EF4-FFF2-40B4-BE49-F238E27FC236}">
              <a16:creationId xmlns:a16="http://schemas.microsoft.com/office/drawing/2014/main" id="{EF5296A5-072F-EAA3-70A2-07620DDC3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8</xdr:row>
      <xdr:rowOff>148590</xdr:rowOff>
    </xdr:from>
    <xdr:to>
      <xdr:col>11</xdr:col>
      <xdr:colOff>15240</xdr:colOff>
      <xdr:row>23</xdr:row>
      <xdr:rowOff>148590</xdr:rowOff>
    </xdr:to>
    <xdr:graphicFrame macro="">
      <xdr:nvGraphicFramePr>
        <xdr:cNvPr id="2" name="Chart 1">
          <a:extLst>
            <a:ext uri="{FF2B5EF4-FFF2-40B4-BE49-F238E27FC236}">
              <a16:creationId xmlns:a16="http://schemas.microsoft.com/office/drawing/2014/main" id="{8F646FF2-322E-EB7E-56B7-B306F2576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49</xdr:col>
      <xdr:colOff>177648</xdr:colOff>
      <xdr:row>55</xdr:row>
      <xdr:rowOff>36443</xdr:rowOff>
    </xdr:from>
    <xdr:to>
      <xdr:col>56</xdr:col>
      <xdr:colOff>380619</xdr:colOff>
      <xdr:row>69</xdr:row>
      <xdr:rowOff>151296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621971E-27B4-29A5-972D-364D6B7F81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574608" y="10094843"/>
              <a:ext cx="4584471" cy="26751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169359</xdr:colOff>
      <xdr:row>63</xdr:row>
      <xdr:rowOff>42984</xdr:rowOff>
    </xdr:from>
    <xdr:to>
      <xdr:col>25</xdr:col>
      <xdr:colOff>79370</xdr:colOff>
      <xdr:row>84</xdr:row>
      <xdr:rowOff>151380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24BFBE29-174E-DCD2-2341-16A0503D7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022019" y="11564424"/>
              <a:ext cx="6516551" cy="39488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136999</xdr:colOff>
      <xdr:row>6</xdr:row>
      <xdr:rowOff>173811</xdr:rowOff>
    </xdr:from>
    <xdr:to>
      <xdr:col>9</xdr:col>
      <xdr:colOff>441584</xdr:colOff>
      <xdr:row>21</xdr:row>
      <xdr:rowOff>173811</xdr:rowOff>
    </xdr:to>
    <xdr:graphicFrame macro="">
      <xdr:nvGraphicFramePr>
        <xdr:cNvPr id="2" name="Chart 1">
          <a:extLst>
            <a:ext uri="{FF2B5EF4-FFF2-40B4-BE49-F238E27FC236}">
              <a16:creationId xmlns:a16="http://schemas.microsoft.com/office/drawing/2014/main" id="{B2768758-8502-5343-15E1-A36830DEC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49530</xdr:colOff>
      <xdr:row>1</xdr:row>
      <xdr:rowOff>64770</xdr:rowOff>
    </xdr:from>
    <xdr:to>
      <xdr:col>19</xdr:col>
      <xdr:colOff>60960</xdr:colOff>
      <xdr:row>16</xdr:row>
      <xdr:rowOff>64770</xdr:rowOff>
    </xdr:to>
    <xdr:graphicFrame macro="">
      <xdr:nvGraphicFramePr>
        <xdr:cNvPr id="2" name="Chart 1">
          <a:extLst>
            <a:ext uri="{FF2B5EF4-FFF2-40B4-BE49-F238E27FC236}">
              <a16:creationId xmlns:a16="http://schemas.microsoft.com/office/drawing/2014/main" id="{2C8C1AEB-D0F1-5324-5CEE-BFFBCBDCE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149702</xdr:colOff>
      <xdr:row>6</xdr:row>
      <xdr:rowOff>58818</xdr:rowOff>
    </xdr:from>
    <xdr:to>
      <xdr:col>12</xdr:col>
      <xdr:colOff>475390</xdr:colOff>
      <xdr:row>21</xdr:row>
      <xdr:rowOff>58818</xdr:rowOff>
    </xdr:to>
    <xdr:graphicFrame macro="">
      <xdr:nvGraphicFramePr>
        <xdr:cNvPr id="4" name="Chart 3">
          <a:extLst>
            <a:ext uri="{FF2B5EF4-FFF2-40B4-BE49-F238E27FC236}">
              <a16:creationId xmlns:a16="http://schemas.microsoft.com/office/drawing/2014/main" id="{A0CF79FE-BD1B-CC22-615D-322570438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ya" refreshedDate="46010.511025" createdVersion="8" refreshedVersion="8" minRefreshableVersion="3" recordCount="2400" xr:uid="{D612A4FB-9918-4671-BE82-0C26F2512333}">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ount="934">
        <n v="10.9"/>
        <n v="30.6"/>
        <n v="109.4"/>
        <n v="37.700000000000003"/>
        <n v="56.7"/>
        <n v="83.5"/>
        <n v="55.3"/>
        <n v="40.299999999999997"/>
        <n v="35.700000000000003"/>
        <n v="22.4"/>
        <n v="54.4"/>
        <n v="49"/>
        <n v="118.6"/>
        <n v="88.4"/>
        <n v="66.7"/>
        <n v="30.9"/>
        <n v="31.1"/>
        <n v="36.6"/>
        <n v="51.1"/>
        <n v="25.2"/>
        <n v="43.8"/>
        <n v="46.7"/>
        <n v="79.900000000000006"/>
        <n v="26.4"/>
        <n v="88.8"/>
        <n v="17.5"/>
        <n v="38.700000000000003"/>
        <n v="57.2"/>
        <n v="50.9"/>
        <n v="41"/>
        <n v="19.100000000000001"/>
        <n v="166.1"/>
        <n v="29.9"/>
        <n v="21.7"/>
        <n v="32"/>
        <n v="15.8"/>
        <n v="203.1"/>
        <n v="39"/>
        <n v="26.5"/>
        <n v="43.1"/>
        <n v="139"/>
        <n v="80.7"/>
        <n v="54.5"/>
        <n v="68.599999999999994"/>
        <n v="135.9"/>
        <n v="70.900000000000006"/>
        <n v="63.7"/>
        <n v="29.7"/>
        <n v="26.8"/>
        <n v="27"/>
        <n v="41.4"/>
        <n v="24.3"/>
        <n v="41.7"/>
        <n v="18"/>
        <n v="91.3"/>
        <n v="19.3"/>
        <n v="63.2"/>
        <n v="33.299999999999997"/>
        <n v="64.2"/>
        <n v="23.1"/>
        <n v="71.099999999999994"/>
        <n v="11.5"/>
        <n v="69.2"/>
        <n v="31.2"/>
        <n v="113.2"/>
        <n v="21"/>
        <n v="89.1"/>
        <n v="97.7"/>
        <n v="47.4"/>
        <n v="89.6"/>
        <n v="28.4"/>
        <n v="17.899999999999999"/>
        <n v="48.4"/>
        <n v="44.4"/>
        <n v="103.7"/>
        <n v="58.6"/>
        <n v="54.8"/>
        <n v="78.8"/>
        <n v="36.799999999999997"/>
        <n v="50.6"/>
        <n v="41.8"/>
        <n v="77.3"/>
        <n v="19.8"/>
        <n v="15.5"/>
        <n v="46.8"/>
        <n v="28.6"/>
        <n v="54.7"/>
        <n v="130.5"/>
        <n v="50.4"/>
        <n v="61.5"/>
        <n v="30.1"/>
        <n v="74.8"/>
        <n v="64.900000000000006"/>
        <n v="50.5"/>
        <n v="63"/>
        <n v="93.6"/>
        <n v="160"/>
        <n v="10.5"/>
        <n v="53"/>
        <n v="18.5"/>
        <n v="84.5"/>
        <n v="32.6"/>
        <n v="45.4"/>
        <n v="120"/>
        <n v="18.899999999999999"/>
        <n v="37.299999999999997"/>
        <n v="119.8"/>
        <n v="76.5"/>
        <n v="45.7"/>
        <n v="92.6"/>
        <n v="60.1"/>
        <n v="73"/>
        <n v="44.3"/>
        <n v="63.3"/>
        <n v="66.8"/>
        <n v="59.7"/>
        <n v="92"/>
        <n v="87.6"/>
        <n v="116.3"/>
        <n v="52.7"/>
        <n v="34.200000000000003"/>
        <n v="23.3"/>
        <n v="25.9"/>
        <n v="54.9"/>
        <n v="75.8"/>
        <n v="44.9"/>
        <n v="48.8"/>
        <n v="20.3"/>
        <n v="36.4"/>
        <n v="19"/>
        <n v="17.8"/>
        <n v="139.6"/>
        <n v="31.7"/>
        <n v="26.3"/>
        <n v="47.8"/>
        <n v="69.400000000000006"/>
        <n v="25.8"/>
        <n v="15.7"/>
        <n v="39.700000000000003"/>
        <n v="23.4"/>
        <n v="57.1"/>
        <n v="89.9"/>
        <n v="48.1"/>
        <n v="29.3"/>
        <n v="28.8"/>
        <n v="40.5"/>
        <n v="65.099999999999994"/>
        <n v="51.8"/>
        <n v="61.3"/>
        <n v="122.5"/>
        <n v="12.5"/>
        <n v="37.5"/>
        <n v="40"/>
        <n v="38.5"/>
        <n v="86.4"/>
        <n v="50.7"/>
        <n v="61"/>
        <n v="19.899999999999999"/>
        <n v="78.3"/>
        <n v="10.4"/>
        <n v="36.1"/>
        <n v="17.3"/>
        <n v="30.5"/>
        <n v="70.099999999999994"/>
        <n v="76.099999999999994"/>
        <n v="30.3"/>
        <n v="52.5"/>
        <n v="28.7"/>
        <n v="52"/>
        <n v="13.3"/>
        <n v="25.6"/>
        <n v="43.4"/>
        <n v="33.4"/>
        <n v="55"/>
        <n v="23.6"/>
        <n v="104"/>
        <n v="34.5"/>
        <n v="131.5"/>
        <n v="10.199999999999999"/>
        <n v="50.8"/>
        <n v="39.6"/>
        <n v="69.5"/>
        <n v="49.1"/>
        <n v="49.4"/>
        <n v="52.1"/>
        <n v="129.19999999999999"/>
        <n v="81.8"/>
        <n v="24.9"/>
        <n v="22.7"/>
        <n v="109.1"/>
        <n v="53.9"/>
        <n v="21.2"/>
        <n v="69"/>
        <n v="46.2"/>
        <n v="97.4"/>
        <n v="32.700000000000003"/>
        <n v="48"/>
        <n v="68.2"/>
        <n v="62.1"/>
        <n v="33.1"/>
        <n v="35.200000000000003"/>
        <n v="32.1"/>
        <n v="38.1"/>
        <n v="65.2"/>
        <n v="55.2"/>
        <n v="62"/>
        <n v="45.9"/>
        <n v="58.3"/>
        <n v="22.3"/>
        <n v="24"/>
        <n v="21.3"/>
        <n v="57.8"/>
        <n v="67.599999999999994"/>
        <n v="53.1"/>
        <n v="57.4"/>
        <n v="58.1"/>
        <n v="31.8"/>
        <n v="31.5"/>
        <n v="55.9"/>
        <n v="47.3"/>
        <n v="82.5"/>
        <n v="14.3"/>
        <n v="57.6"/>
        <n v="142.4"/>
        <n v="30.2"/>
        <n v="65.3"/>
        <n v="45.1"/>
        <n v="61.7"/>
        <n v="17.600000000000001"/>
        <n v="11.3"/>
        <n v="53.4"/>
        <n v="27.5"/>
        <n v="33.5"/>
        <n v="59.5"/>
        <n v="23.5"/>
        <n v="49.7"/>
        <n v="44.2"/>
        <n v="22.1"/>
        <n v="90.9"/>
        <n v="44.5"/>
        <n v="32.299999999999997"/>
        <n v="87.5"/>
        <n v="48.7"/>
        <n v="22.5"/>
        <n v="65.900000000000006"/>
        <n v="41.9"/>
        <n v="67.5"/>
        <n v="60.4"/>
        <n v="30.4"/>
        <n v="24.5"/>
        <n v="105.9"/>
        <n v="112.3"/>
        <n v="94.1"/>
        <n v="40.700000000000003"/>
        <n v="71.400000000000006"/>
        <n v="15.6"/>
        <n v="37.799999999999997"/>
        <n v="28.1"/>
        <n v="51.4"/>
        <n v="63.8"/>
        <n v="20.100000000000001"/>
        <n v="16.2"/>
        <n v="80.900000000000006"/>
        <n v="95.2"/>
        <n v="70.400000000000006"/>
        <n v="10.7"/>
        <n v="19.600000000000001"/>
        <n v="34.700000000000003"/>
        <n v="34.1"/>
        <n v="26"/>
        <n v="14.2"/>
        <n v="34.9"/>
        <n v="42.7"/>
        <n v="23.9"/>
        <n v="124.3"/>
        <n v="35.9"/>
        <n v="69.099999999999994"/>
        <n v="58.4"/>
        <n v="24.4"/>
        <n v="100"/>
        <n v="43"/>
        <n v="64.400000000000006"/>
        <n v="55.1"/>
        <n v="93.3"/>
        <n v="158.19999999999999"/>
        <n v="74.900000000000006"/>
        <n v="48.5"/>
        <n v="98.9"/>
        <n v="84.7"/>
        <n v="20.7"/>
        <n v="106.9"/>
        <n v="45.2"/>
        <n v="34.6"/>
        <n v="20.399999999999999"/>
        <n v="36.700000000000003"/>
        <n v="27.2"/>
        <n v="58.2"/>
        <n v="48.2"/>
        <n v="83.4"/>
        <n v="45.3"/>
        <n v="42"/>
        <n v="21.8"/>
        <n v="21.4"/>
        <n v="45"/>
        <n v="79.8"/>
        <n v="63.6"/>
        <n v="92.7"/>
        <n v="36"/>
        <n v="49.9"/>
        <n v="51.7"/>
        <n v="36.200000000000003"/>
        <n v="150.9"/>
        <n v="77.599999999999994"/>
        <n v="65.5"/>
        <n v="90.1"/>
        <n v="108.3"/>
        <n v="59.9"/>
        <n v="87.3"/>
        <n v="42.3"/>
        <n v="103.6"/>
        <n v="100.9"/>
        <n v="83.3"/>
        <n v="60.3"/>
        <n v="120.3"/>
        <n v="34"/>
        <n v="42.6"/>
        <n v="74"/>
        <n v="69.3"/>
        <n v="81"/>
        <n v="41.5"/>
        <n v="69.7"/>
        <n v="83.6"/>
        <n v="21.5"/>
        <n v="18.8"/>
        <n v="35.1"/>
        <n v="12.7"/>
        <n v="27.4"/>
        <n v="64.7"/>
        <n v="91.4"/>
        <n v="105.6"/>
        <n v="46.4"/>
        <n v="35.299999999999997"/>
        <n v="16.100000000000001"/>
        <n v="27.9"/>
        <n v="47.1"/>
        <n v="85"/>
        <n v="89"/>
        <n v="43.5"/>
        <n v="107.7"/>
        <n v="111.7"/>
        <n v="95.8"/>
        <n v="22.6"/>
        <n v="54.3"/>
        <n v="51.3"/>
        <n v="46.1"/>
        <n v="36.5"/>
        <n v="47.5"/>
        <n v="45.6"/>
        <n v="99.8"/>
        <n v="19.2"/>
        <n v="126.9"/>
        <n v="100.3"/>
        <n v="24.6"/>
        <n v="40.799999999999997"/>
        <n v="49.2"/>
        <n v="28.5"/>
        <n v="62.5"/>
        <n v="47.9"/>
        <n v="92.9"/>
        <n v="44.1"/>
        <n v="11.4"/>
        <n v="83.7"/>
        <n v="23.2"/>
        <n v="162.1"/>
        <n v="75.3"/>
        <n v="31.3"/>
        <n v="85.4"/>
        <n v="114.8"/>
        <n v="73.2"/>
        <n v="48.6"/>
        <n v="32.200000000000003"/>
        <n v="94.8"/>
        <n v="56.8"/>
        <n v="18.3"/>
        <n v="16.8"/>
        <n v="35.799999999999997"/>
        <n v="103.5"/>
        <n v="41.2"/>
        <n v="15.2"/>
        <n v="27.7"/>
        <n v="20.8"/>
        <n v="72.7"/>
        <n v="38.6"/>
        <n v="69.599999999999994"/>
        <n v="42.4"/>
        <n v="58.9"/>
        <n v="59.8"/>
        <n v="41.3"/>
        <n v="16"/>
        <n v="27.1"/>
        <n v="38.9"/>
        <n v="10.8"/>
        <n v="29.2"/>
        <n v="25.1"/>
        <n v="65.599999999999994"/>
        <n v="57.3"/>
        <n v="39.200000000000003"/>
        <n v="62.7"/>
        <n v="11.2"/>
        <n v="22.9"/>
        <n v="37.6"/>
        <n v="90.5"/>
        <n v="33.9"/>
        <n v="32.799999999999997"/>
        <n v="79.2"/>
        <n v="19.5"/>
        <n v="167.2"/>
        <n v="74.5"/>
        <n v="39.299999999999997"/>
        <n v="68.5"/>
        <n v="94"/>
        <n v="21.9"/>
        <n v="52.9"/>
        <n v="25.5"/>
        <n v="51.9"/>
        <n v="46.3"/>
        <n v="11.9"/>
        <n v="63.5"/>
        <n v="82.1"/>
        <n v="42.9"/>
        <n v="37.9"/>
        <n v="70.599999999999994"/>
        <n v="49.5"/>
        <n v="96.6"/>
        <n v="52.8"/>
        <n v="101.7"/>
        <n v="26.9"/>
        <n v="211"/>
        <n v="21.1"/>
        <n v="26.6"/>
        <n v="51.2"/>
        <n v="10.6"/>
        <n v="80"/>
        <n v="42.8"/>
        <n v="64.099999999999994"/>
        <n v="83.1"/>
        <n v="40.9"/>
        <n v="125.7"/>
        <n v="56.5"/>
        <n v="85.8"/>
        <n v="66.599999999999994"/>
        <n v="70.3"/>
        <n v="31"/>
        <n v="81.599999999999994"/>
        <n v="80.2"/>
        <n v="15.4"/>
        <n v="65.400000000000006"/>
        <n v="26.2"/>
        <n v="43.6"/>
        <n v="53.2"/>
        <n v="105.4"/>
        <n v="57.7"/>
        <n v="72.400000000000006"/>
        <n v="11.6"/>
        <n v="40.1"/>
        <n v="18.600000000000001"/>
        <n v="58.8"/>
        <n v="114.9"/>
        <n v="20.6"/>
        <n v="67.900000000000006"/>
        <n v="62.4"/>
        <n v="70.8"/>
        <n v="56.6"/>
        <n v="78.400000000000006"/>
        <n v="122.1"/>
        <n v="97.9"/>
        <n v="15"/>
        <n v="94.6"/>
        <n v="19.7"/>
        <n v="86.8"/>
        <n v="61.6"/>
        <n v="130.69999999999999"/>
        <n v="94.4"/>
        <n v="23.7"/>
        <n v="37.4"/>
        <n v="105"/>
        <n v="24.8"/>
        <n v="75"/>
        <n v="169.9"/>
        <n v="72.2"/>
        <n v="20"/>
        <n v="58"/>
        <n v="74.7"/>
        <n v="128.19999999999999"/>
        <n v="26.7"/>
        <n v="55.6"/>
        <n v="15.9"/>
        <n v="64.8"/>
        <n v="32.4"/>
        <n v="177.4"/>
        <n v="30"/>
        <n v="61.1"/>
        <n v="55.8"/>
        <n v="14.6"/>
        <n v="32.5"/>
        <n v="78.099999999999994"/>
        <n v="110.2"/>
        <n v="86.3"/>
        <n v="73.599999999999994"/>
        <n v="67.7"/>
        <n v="142.19999999999999"/>
        <n v="45.8"/>
        <n v="24.2"/>
        <n v="144.9"/>
        <n v="54.6"/>
        <n v="52.4"/>
        <n v="144.4"/>
        <n v="117.5"/>
        <n v="105.7"/>
        <n v="133.69999999999999"/>
        <n v="92.3"/>
        <n v="81.7"/>
        <n v="43.2"/>
        <n v="59.1"/>
        <n v="72.8"/>
        <n v="137.30000000000001"/>
        <n v="53.7"/>
        <n v="88.9"/>
        <n v="46.9"/>
        <n v="118.7"/>
        <n v="60.5"/>
        <n v="112"/>
        <n v="33.700000000000003"/>
        <n v="35.6"/>
        <n v="50.2"/>
        <n v="43.7"/>
        <n v="15.1"/>
        <n v="118.2"/>
        <n v="28.9"/>
        <n v="99.4"/>
        <n v="102.5"/>
        <n v="31.4"/>
        <n v="59.3"/>
        <n v="98.6"/>
        <n v="46"/>
        <n v="38"/>
        <n v="79.7"/>
        <n v="61.8"/>
        <n v="44"/>
        <n v="95.7"/>
        <n v="47.2"/>
        <n v="57"/>
        <n v="60.7"/>
        <n v="60.8"/>
        <n v="64.599999999999994"/>
        <n v="84.9"/>
        <n v="62.3"/>
        <n v="39.5"/>
        <n v="96"/>
        <n v="72.599999999999994"/>
        <n v="115.1"/>
        <n v="79"/>
        <n v="107.9"/>
        <n v="66.5"/>
        <n v="84.8"/>
        <n v="63.9"/>
        <n v="116.2"/>
        <n v="42.2"/>
        <n v="94.7"/>
        <n v="16.7"/>
        <n v="33.6"/>
        <n v="37"/>
        <n v="55.5"/>
        <n v="95.3"/>
        <n v="52.3"/>
        <n v="112.2"/>
        <n v="56.4"/>
        <n v="75.5"/>
        <n v="70.7"/>
        <n v="70"/>
        <n v="20.5"/>
        <n v="29.1"/>
        <n v="53.6"/>
        <n v="72.3"/>
        <n v="133.80000000000001"/>
        <n v="18.7"/>
        <n v="108.8"/>
        <n v="46.5"/>
        <n v="20.9"/>
        <n v="53.8"/>
        <n v="31.9"/>
        <n v="48.3"/>
        <n v="21.6"/>
        <n v="103"/>
        <n v="46.6"/>
        <n v="22"/>
        <n v="68.7"/>
        <n v="22.2"/>
        <n v="71.599999999999994"/>
        <n v="51.5"/>
        <n v="45.5"/>
        <n v="33.799999999999997"/>
        <n v="85.3"/>
        <n v="74.400000000000006"/>
        <n v="11.8"/>
        <n v="24.7"/>
        <n v="18.100000000000001"/>
        <n v="30.8"/>
        <n v="12"/>
        <n v="13.6"/>
        <n v="111.4"/>
        <n v="80.3"/>
        <n v="50.3"/>
        <n v="44.7"/>
        <n v="33"/>
        <n v="26.1"/>
        <n v="167.9"/>
        <n v="104.5"/>
        <n v="67.3"/>
        <n v="32.9"/>
        <n v="100.8"/>
        <n v="166.2"/>
        <n v="116.6"/>
        <n v="56.2"/>
        <n v="42.1"/>
        <n v="22.8"/>
        <n v="171.1"/>
        <n v="28"/>
        <n v="56"/>
        <n v="38.299999999999997"/>
        <n v="30.7"/>
        <n v="25.3"/>
        <n v="39.4"/>
        <n v="66.400000000000006"/>
        <n v="56.1"/>
        <n v="58.5"/>
        <n v="84.2"/>
        <n v="135"/>
        <n v="92.2"/>
        <n v="16.600000000000001"/>
        <n v="176.7"/>
        <n v="54"/>
        <n v="47"/>
        <n v="110.9"/>
        <n v="39.1"/>
        <n v="208.6"/>
        <n v="27.8"/>
        <n v="29.4"/>
        <n v="174.1"/>
        <n v="106.6"/>
        <n v="119.7"/>
        <n v="73.3"/>
        <n v="139.19999999999999"/>
        <n v="104.4"/>
        <n v="41.6"/>
        <n v="16.399999999999999"/>
        <n v="122.7"/>
        <n v="68.400000000000006"/>
        <n v="117"/>
        <n v="49.6"/>
        <n v="49.3"/>
        <n v="24.1"/>
        <n v="149.6"/>
        <n v="129.1"/>
        <n v="40.4"/>
        <n v="38.799999999999997"/>
        <n v="68"/>
        <n v="66.2"/>
        <n v="66.900000000000006"/>
        <n v="29.5"/>
        <n v="115"/>
        <n v="109.3"/>
        <n v="47.7"/>
        <n v="70.2"/>
        <n v="71.5"/>
        <n v="112.9"/>
        <n v="159.69999999999999"/>
        <n v="91.1"/>
        <n v="15.3"/>
        <n v="25.7"/>
        <n v="31.6"/>
        <n v="106.1"/>
        <n v="82.9"/>
        <n v="107.1"/>
        <n v="59.6"/>
        <n v="78.7"/>
        <n v="29.6"/>
        <n v="42.5"/>
        <n v="154.80000000000001"/>
        <n v="88.6"/>
        <n v="29"/>
        <n v="87.4"/>
        <n v="141"/>
        <n v="77.5"/>
        <n v="163"/>
        <n v="34.299999999999997"/>
        <n v="117.2"/>
        <n v="80.5"/>
        <n v="106.2"/>
        <n v="52.6"/>
        <n v="134.9"/>
        <n v="60.6"/>
        <n v="187.1"/>
        <n v="110.8"/>
        <n v="68.3"/>
        <n v="43.3"/>
        <n v="54.2"/>
        <n v="51"/>
        <n v="220.3"/>
        <n v="97.8"/>
        <n v="77.900000000000006"/>
        <n v="36.9"/>
        <n v="190.4"/>
        <n v="121.9"/>
        <n v="149.19999999999999"/>
        <n v="54.1"/>
        <n v="78.599999999999994"/>
        <n v="134.80000000000001"/>
        <n v="215.6"/>
        <n v="37.1"/>
        <n v="104.8"/>
        <n v="59"/>
        <n v="40.6"/>
        <n v="88.7"/>
        <n v="86.9"/>
        <n v="68.900000000000006"/>
        <n v="84"/>
        <n v="17.2"/>
        <n v="51.6"/>
        <n v="98"/>
        <n v="66.3"/>
        <n v="127.6"/>
        <n v="95.9"/>
        <n v="105.3"/>
        <n v="63.4"/>
        <n v="68.099999999999994"/>
        <n v="20.2"/>
        <n v="59.2"/>
        <n v="60.2"/>
        <n v="91.5"/>
        <n v="55.7"/>
        <n v="76.7"/>
        <n v="28.2"/>
        <n v="93.2"/>
        <n v="85.2"/>
        <n v="88"/>
        <n v="74.099999999999994"/>
        <n v="161.9"/>
        <n v="67.400000000000006"/>
        <n v="115.2"/>
        <n v="61.2"/>
        <n v="38.200000000000003"/>
        <n v="74.599999999999994"/>
        <n v="85.7"/>
        <n v="92.1"/>
        <n v="29.8"/>
        <n v="108.9"/>
        <n v="66.099999999999994"/>
        <n v="41.1"/>
        <n v="39.799999999999997"/>
        <n v="71.3"/>
        <n v="64"/>
        <n v="18.2"/>
        <n v="90.4"/>
        <n v="125.9"/>
        <n v="99.5"/>
        <n v="34.4"/>
        <n v="76.2"/>
        <n v="85.6"/>
        <n v="25"/>
        <n v="150.69999999999999"/>
        <n v="17"/>
        <n v="103.2"/>
        <n v="73.8"/>
        <n v="71.900000000000006"/>
        <n v="35"/>
        <n v="121"/>
        <n v="77.7"/>
        <n v="124.1"/>
        <n v="66"/>
        <n v="64.3"/>
        <n v="158.5"/>
        <n v="107.8"/>
        <n v="67.099999999999994"/>
        <n v="132.1"/>
        <n v="58.7"/>
        <n v="144.69999999999999"/>
        <n v="57.9"/>
        <n v="44.8"/>
        <n v="53.5"/>
        <n v="37.200000000000003"/>
        <n v="36.299999999999997"/>
        <n v="110.5"/>
        <n v="52.2"/>
        <n v="68.8"/>
        <n v="128.80000000000001"/>
        <n v="115.9"/>
        <n v="86"/>
        <n v="84.6"/>
        <n v="123.9"/>
        <n v="118.3"/>
        <n v="121.6"/>
        <n v="115.7"/>
        <n v="35.5"/>
        <n v="85.9"/>
        <n v="28.3"/>
        <n v="163.30000000000001"/>
        <n v="27.3"/>
        <n v="87.2"/>
        <n v="125.5"/>
        <n v="124.6"/>
        <n v="39.9"/>
        <n v="96.5"/>
        <n v="86.1"/>
        <n v="115.4"/>
        <n v="176.5"/>
        <n v="48.9"/>
        <n v="118.5"/>
        <n v="97.5"/>
        <n v="133"/>
        <n v="91.2"/>
        <n v="62.9"/>
        <n v="12.4"/>
        <n v="76"/>
        <n v="93.4"/>
        <n v="143.19999999999999"/>
        <n v="13.7"/>
        <n v="80.8"/>
        <n v="76.8"/>
        <n v="62.6"/>
        <n v="81.2"/>
        <n v="95"/>
        <n v="172.1"/>
        <n v="233"/>
        <n v="65.8"/>
        <n v="102.4"/>
        <n v="75.900000000000006"/>
        <n v="136.5"/>
        <n v="140.69999999999999"/>
        <n v="135.1"/>
        <n v="95.5"/>
        <n v="60"/>
        <n v="55.4"/>
        <n v="27.6"/>
        <n v="82.4"/>
        <n v="84.4"/>
        <n v="33.200000000000003"/>
        <n v="124.2"/>
        <n v="217"/>
        <n v="97.3"/>
        <n v="49.8"/>
        <n v="111.1"/>
        <n v="104.7"/>
        <n v="80.599999999999994"/>
        <n v="61.4"/>
        <n v="25.4"/>
        <n v="18.399999999999999"/>
        <n v="16.3"/>
        <n v="73.900000000000006"/>
        <n v="75.599999999999994"/>
        <n v="11.7"/>
        <n v="83.8"/>
        <n v="14"/>
        <n v="76.900000000000006"/>
        <n v="94.5"/>
        <n v="152.19999999999999"/>
        <n v="72"/>
        <n v="107.5"/>
        <n v="123.1"/>
        <n v="50.1"/>
        <n v="81.400000000000006"/>
        <n v="97.6"/>
        <n v="84.3"/>
        <n v="117.9"/>
        <n v="85.1"/>
        <n v="100.7"/>
        <n v="97"/>
        <n v="12.2"/>
        <n v="151"/>
        <n v="16.5"/>
        <n v="176"/>
        <n v="56.9"/>
        <n v="105.2"/>
        <n v="84.1"/>
        <n v="57.5"/>
        <n v="12.8"/>
        <n v="115.3"/>
        <n v="23"/>
        <n v="13.2"/>
        <n v="80.099999999999994"/>
        <n v="83.2"/>
        <n v="157"/>
        <n v="107.4"/>
        <n v="17.399999999999999"/>
        <n v="234.7"/>
        <n v="93.9"/>
        <n v="187"/>
        <n v="76.599999999999994"/>
        <n v="78.5"/>
        <n v="72.900000000000006"/>
        <n v="96.7"/>
        <n v="106"/>
        <n v="80.400000000000006"/>
        <n v="76.400000000000006"/>
        <n v="102.3"/>
        <n v="13.8"/>
        <n v="121.3"/>
        <n v="145.69999999999999"/>
        <n v="35.4"/>
        <n v="85.5"/>
        <n v="43.9"/>
        <n v="70.5"/>
        <n v="154.4"/>
        <n v="75.400000000000006"/>
        <n v="208.2"/>
        <n v="118.4"/>
        <n v="125.3"/>
        <n v="182.3"/>
        <n v="19.399999999999999"/>
        <n v="101.4"/>
        <n v="109.2"/>
        <n v="82.8"/>
        <n v="83.9"/>
        <n v="92.4"/>
        <n v="152.6"/>
        <n v="71.7"/>
        <n v="44.6"/>
        <n v="153.6"/>
        <n v="71.8"/>
        <n v="16.899999999999999"/>
        <n v="121.4"/>
        <n v="40.200000000000003"/>
        <n v="12.3"/>
        <n v="117.8"/>
      </sharedItems>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855573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x v="0"/>
    <n v="10.9"/>
    <x v="0"/>
    <d v="2025-01-06T00:00:00"/>
    <x v="0"/>
    <x v="0"/>
    <x v="0"/>
    <x v="0"/>
    <x v="0"/>
    <x v="0"/>
    <x v="0"/>
    <x v="0"/>
  </r>
  <r>
    <x v="1"/>
    <x v="1"/>
    <x v="1"/>
    <x v="1"/>
    <n v="61.2"/>
    <x v="0"/>
    <d v="2025-01-03T00:00:00"/>
    <x v="1"/>
    <x v="0"/>
    <x v="0"/>
    <x v="0"/>
    <x v="1"/>
    <x v="1"/>
    <x v="0"/>
    <x v="1"/>
  </r>
  <r>
    <x v="2"/>
    <x v="2"/>
    <x v="2"/>
    <x v="2"/>
    <n v="328.20000000000005"/>
    <x v="0"/>
    <d v="2025-01-04T00:00:00"/>
    <x v="2"/>
    <x v="0"/>
    <x v="1"/>
    <x v="0"/>
    <x v="2"/>
    <x v="2"/>
    <x v="0"/>
    <x v="2"/>
  </r>
  <r>
    <x v="3"/>
    <x v="3"/>
    <x v="3"/>
    <x v="3"/>
    <n v="263.90000000000003"/>
    <x v="0"/>
    <d v="2025-01-02T00:00:00"/>
    <x v="2"/>
    <x v="0"/>
    <x v="0"/>
    <x v="0"/>
    <x v="2"/>
    <x v="3"/>
    <x v="0"/>
    <x v="2"/>
  </r>
  <r>
    <x v="4"/>
    <x v="4"/>
    <x v="2"/>
    <x v="4"/>
    <n v="170.10000000000002"/>
    <x v="0"/>
    <d v="2025-01-04T00:00:00"/>
    <x v="2"/>
    <x v="0"/>
    <x v="2"/>
    <x v="0"/>
    <x v="3"/>
    <x v="2"/>
    <x v="0"/>
    <x v="2"/>
  </r>
  <r>
    <x v="5"/>
    <x v="1"/>
    <x v="4"/>
    <x v="5"/>
    <n v="1002"/>
    <x v="0"/>
    <d v="2025-01-04T00:00:00"/>
    <x v="1"/>
    <x v="1"/>
    <x v="0"/>
    <x v="0"/>
    <x v="3"/>
    <x v="2"/>
    <x v="0"/>
    <x v="1"/>
  </r>
  <r>
    <x v="6"/>
    <x v="5"/>
    <x v="0"/>
    <x v="6"/>
    <n v="55.3"/>
    <x v="0"/>
    <d v="2025-01-02T00:00:00"/>
    <x v="2"/>
    <x v="0"/>
    <x v="0"/>
    <x v="0"/>
    <x v="3"/>
    <x v="3"/>
    <x v="0"/>
    <x v="2"/>
  </r>
  <r>
    <x v="7"/>
    <x v="6"/>
    <x v="1"/>
    <x v="7"/>
    <n v="80.599999999999994"/>
    <x v="0"/>
    <d v="2025-01-02T00:00:00"/>
    <x v="1"/>
    <x v="2"/>
    <x v="2"/>
    <x v="0"/>
    <x v="3"/>
    <x v="3"/>
    <x v="0"/>
    <x v="1"/>
  </r>
  <r>
    <x v="8"/>
    <x v="7"/>
    <x v="5"/>
    <x v="8"/>
    <n v="392.70000000000005"/>
    <x v="0"/>
    <d v="2025-01-02T00:00:00"/>
    <x v="2"/>
    <x v="0"/>
    <x v="0"/>
    <x v="0"/>
    <x v="3"/>
    <x v="3"/>
    <x v="0"/>
    <x v="2"/>
  </r>
  <r>
    <x v="9"/>
    <x v="8"/>
    <x v="3"/>
    <x v="9"/>
    <n v="156.79999999999998"/>
    <x v="0"/>
    <d v="2025-01-04T00:00:00"/>
    <x v="1"/>
    <x v="0"/>
    <x v="1"/>
    <x v="0"/>
    <x v="3"/>
    <x v="2"/>
    <x v="0"/>
    <x v="1"/>
  </r>
  <r>
    <x v="10"/>
    <x v="9"/>
    <x v="1"/>
    <x v="10"/>
    <n v="108.8"/>
    <x v="0"/>
    <d v="2025-01-07T00:00:00"/>
    <x v="2"/>
    <x v="0"/>
    <x v="0"/>
    <x v="0"/>
    <x v="3"/>
    <x v="4"/>
    <x v="0"/>
    <x v="2"/>
  </r>
  <r>
    <x v="11"/>
    <x v="9"/>
    <x v="1"/>
    <x v="11"/>
    <n v="98"/>
    <x v="0"/>
    <d v="2025-01-03T00:00:00"/>
    <x v="2"/>
    <x v="2"/>
    <x v="1"/>
    <x v="0"/>
    <x v="3"/>
    <x v="1"/>
    <x v="0"/>
    <x v="2"/>
  </r>
  <r>
    <x v="12"/>
    <x v="5"/>
    <x v="3"/>
    <x v="12"/>
    <n v="830.19999999999993"/>
    <x v="0"/>
    <d v="2025-01-05T00:00:00"/>
    <x v="2"/>
    <x v="1"/>
    <x v="0"/>
    <x v="0"/>
    <x v="4"/>
    <x v="5"/>
    <x v="0"/>
    <x v="2"/>
  </r>
  <r>
    <x v="13"/>
    <x v="6"/>
    <x v="6"/>
    <x v="13"/>
    <n v="2386.8000000000002"/>
    <x v="0"/>
    <d v="2025-01-08T00:00:00"/>
    <x v="1"/>
    <x v="3"/>
    <x v="0"/>
    <x v="0"/>
    <x v="5"/>
    <x v="6"/>
    <x v="0"/>
    <x v="1"/>
  </r>
  <r>
    <x v="14"/>
    <x v="10"/>
    <x v="0"/>
    <x v="14"/>
    <n v="66.7"/>
    <x v="0"/>
    <d v="2025-01-04T00:00:00"/>
    <x v="1"/>
    <x v="0"/>
    <x v="0"/>
    <x v="0"/>
    <x v="6"/>
    <x v="2"/>
    <x v="0"/>
    <x v="1"/>
  </r>
  <r>
    <x v="15"/>
    <x v="9"/>
    <x v="7"/>
    <x v="15"/>
    <n v="309"/>
    <x v="0"/>
    <d v="2025-01-02T00:00:00"/>
    <x v="1"/>
    <x v="1"/>
    <x v="2"/>
    <x v="0"/>
    <x v="6"/>
    <x v="3"/>
    <x v="0"/>
    <x v="1"/>
  </r>
  <r>
    <x v="16"/>
    <x v="4"/>
    <x v="2"/>
    <x v="16"/>
    <n v="93.300000000000011"/>
    <x v="0"/>
    <d v="2025-01-02T00:00:00"/>
    <x v="2"/>
    <x v="0"/>
    <x v="1"/>
    <x v="0"/>
    <x v="6"/>
    <x v="3"/>
    <x v="0"/>
    <x v="2"/>
  </r>
  <r>
    <x v="17"/>
    <x v="7"/>
    <x v="2"/>
    <x v="17"/>
    <n v="109.80000000000001"/>
    <x v="0"/>
    <d v="2025-01-04T00:00:00"/>
    <x v="2"/>
    <x v="0"/>
    <x v="0"/>
    <x v="0"/>
    <x v="7"/>
    <x v="2"/>
    <x v="0"/>
    <x v="2"/>
  </r>
  <r>
    <x v="18"/>
    <x v="6"/>
    <x v="8"/>
    <x v="18"/>
    <n v="408.8"/>
    <x v="0"/>
    <d v="2025-01-04T00:00:00"/>
    <x v="2"/>
    <x v="2"/>
    <x v="3"/>
    <x v="0"/>
    <x v="7"/>
    <x v="2"/>
    <x v="0"/>
    <x v="2"/>
  </r>
  <r>
    <x v="19"/>
    <x v="9"/>
    <x v="0"/>
    <x v="19"/>
    <n v="25.2"/>
    <x v="0"/>
    <d v="2025-01-02T00:00:00"/>
    <x v="2"/>
    <x v="1"/>
    <x v="2"/>
    <x v="0"/>
    <x v="8"/>
    <x v="3"/>
    <x v="0"/>
    <x v="2"/>
  </r>
  <r>
    <x v="20"/>
    <x v="9"/>
    <x v="9"/>
    <x v="20"/>
    <n v="219"/>
    <x v="0"/>
    <d v="2025-01-04T00:00:00"/>
    <x v="2"/>
    <x v="2"/>
    <x v="0"/>
    <x v="0"/>
    <x v="8"/>
    <x v="2"/>
    <x v="0"/>
    <x v="2"/>
  </r>
  <r>
    <x v="21"/>
    <x v="8"/>
    <x v="4"/>
    <x v="21"/>
    <n v="560.40000000000009"/>
    <x v="0"/>
    <d v="2025-01-02T00:00:00"/>
    <x v="2"/>
    <x v="1"/>
    <x v="1"/>
    <x v="0"/>
    <x v="8"/>
    <x v="3"/>
    <x v="0"/>
    <x v="2"/>
  </r>
  <r>
    <x v="22"/>
    <x v="3"/>
    <x v="10"/>
    <x v="22"/>
    <n v="1518.1000000000001"/>
    <x v="0"/>
    <d v="2025-01-02T00:00:00"/>
    <x v="1"/>
    <x v="0"/>
    <x v="2"/>
    <x v="0"/>
    <x v="8"/>
    <x v="3"/>
    <x v="0"/>
    <x v="1"/>
  </r>
  <r>
    <x v="23"/>
    <x v="11"/>
    <x v="8"/>
    <x v="23"/>
    <n v="211.2"/>
    <x v="0"/>
    <d v="2025-01-02T00:00:00"/>
    <x v="2"/>
    <x v="3"/>
    <x v="0"/>
    <x v="0"/>
    <x v="8"/>
    <x v="3"/>
    <x v="0"/>
    <x v="2"/>
  </r>
  <r>
    <x v="24"/>
    <x v="12"/>
    <x v="8"/>
    <x v="24"/>
    <n v="710.4"/>
    <x v="0"/>
    <d v="2025-01-02T00:00:00"/>
    <x v="2"/>
    <x v="4"/>
    <x v="0"/>
    <x v="0"/>
    <x v="8"/>
    <x v="3"/>
    <x v="0"/>
    <x v="2"/>
  </r>
  <r>
    <x v="25"/>
    <x v="0"/>
    <x v="7"/>
    <x v="25"/>
    <n v="175"/>
    <x v="0"/>
    <d v="2025-01-02T00:00:00"/>
    <x v="2"/>
    <x v="2"/>
    <x v="0"/>
    <x v="0"/>
    <x v="9"/>
    <x v="3"/>
    <x v="0"/>
    <x v="2"/>
  </r>
  <r>
    <x v="26"/>
    <x v="1"/>
    <x v="11"/>
    <x v="26"/>
    <n v="348.3"/>
    <x v="0"/>
    <d v="2025-01-04T00:00:00"/>
    <x v="1"/>
    <x v="1"/>
    <x v="0"/>
    <x v="0"/>
    <x v="10"/>
    <x v="2"/>
    <x v="0"/>
    <x v="1"/>
  </r>
  <r>
    <x v="27"/>
    <x v="13"/>
    <x v="12"/>
    <x v="27"/>
    <n v="228.8"/>
    <x v="0"/>
    <d v="2025-01-03T00:00:00"/>
    <x v="0"/>
    <x v="1"/>
    <x v="2"/>
    <x v="0"/>
    <x v="11"/>
    <x v="1"/>
    <x v="0"/>
    <x v="0"/>
  </r>
  <r>
    <x v="28"/>
    <x v="6"/>
    <x v="9"/>
    <x v="28"/>
    <n v="254.5"/>
    <x v="0"/>
    <d v="2025-01-07T00:00:00"/>
    <x v="0"/>
    <x v="1"/>
    <x v="2"/>
    <x v="0"/>
    <x v="12"/>
    <x v="4"/>
    <x v="0"/>
    <x v="0"/>
  </r>
  <r>
    <x v="29"/>
    <x v="14"/>
    <x v="3"/>
    <x v="29"/>
    <n v="287"/>
    <x v="0"/>
    <d v="2025-01-05T00:00:00"/>
    <x v="2"/>
    <x v="1"/>
    <x v="0"/>
    <x v="0"/>
    <x v="13"/>
    <x v="5"/>
    <x v="0"/>
    <x v="2"/>
  </r>
  <r>
    <x v="30"/>
    <x v="8"/>
    <x v="3"/>
    <x v="30"/>
    <n v="133.70000000000002"/>
    <x v="0"/>
    <d v="2025-01-05T00:00:00"/>
    <x v="1"/>
    <x v="0"/>
    <x v="2"/>
    <x v="0"/>
    <x v="14"/>
    <x v="5"/>
    <x v="0"/>
    <x v="1"/>
  </r>
  <r>
    <x v="31"/>
    <x v="2"/>
    <x v="9"/>
    <x v="31"/>
    <n v="830.5"/>
    <x v="0"/>
    <d v="2025-01-04T00:00:00"/>
    <x v="1"/>
    <x v="0"/>
    <x v="0"/>
    <x v="0"/>
    <x v="15"/>
    <x v="2"/>
    <x v="0"/>
    <x v="1"/>
  </r>
  <r>
    <x v="32"/>
    <x v="4"/>
    <x v="2"/>
    <x v="32"/>
    <n v="89.699999999999989"/>
    <x v="0"/>
    <d v="2025-01-02T00:00:00"/>
    <x v="1"/>
    <x v="3"/>
    <x v="0"/>
    <x v="0"/>
    <x v="3"/>
    <x v="3"/>
    <x v="0"/>
    <x v="1"/>
  </r>
  <r>
    <x v="33"/>
    <x v="10"/>
    <x v="13"/>
    <x v="33"/>
    <n v="130.19999999999999"/>
    <x v="0"/>
    <d v="2025-01-03T00:00:00"/>
    <x v="3"/>
    <x v="2"/>
    <x v="2"/>
    <x v="0"/>
    <x v="3"/>
    <x v="1"/>
    <x v="0"/>
    <x v="3"/>
  </r>
  <r>
    <x v="34"/>
    <x v="11"/>
    <x v="1"/>
    <x v="34"/>
    <n v="64"/>
    <x v="0"/>
    <d v="2025-01-04T00:00:00"/>
    <x v="1"/>
    <x v="0"/>
    <x v="2"/>
    <x v="0"/>
    <x v="3"/>
    <x v="2"/>
    <x v="0"/>
    <x v="1"/>
  </r>
  <r>
    <x v="35"/>
    <x v="8"/>
    <x v="1"/>
    <x v="35"/>
    <n v="31.6"/>
    <x v="0"/>
    <d v="2025-01-02T00:00:00"/>
    <x v="1"/>
    <x v="4"/>
    <x v="2"/>
    <x v="0"/>
    <x v="3"/>
    <x v="3"/>
    <x v="0"/>
    <x v="1"/>
  </r>
  <r>
    <x v="36"/>
    <x v="2"/>
    <x v="14"/>
    <x v="36"/>
    <n v="3452.7"/>
    <x v="0"/>
    <d v="2025-01-05T00:00:00"/>
    <x v="1"/>
    <x v="3"/>
    <x v="1"/>
    <x v="0"/>
    <x v="3"/>
    <x v="5"/>
    <x v="0"/>
    <x v="1"/>
  </r>
  <r>
    <x v="37"/>
    <x v="7"/>
    <x v="15"/>
    <x v="37"/>
    <n v="507"/>
    <x v="0"/>
    <d v="2025-01-07T00:00:00"/>
    <x v="1"/>
    <x v="0"/>
    <x v="2"/>
    <x v="0"/>
    <x v="3"/>
    <x v="4"/>
    <x v="0"/>
    <x v="1"/>
  </r>
  <r>
    <x v="38"/>
    <x v="10"/>
    <x v="0"/>
    <x v="38"/>
    <n v="26.5"/>
    <x v="1"/>
    <d v="2025-01-03T00:00:00"/>
    <x v="1"/>
    <x v="2"/>
    <x v="0"/>
    <x v="0"/>
    <x v="3"/>
    <x v="3"/>
    <x v="0"/>
    <x v="1"/>
  </r>
  <r>
    <x v="39"/>
    <x v="5"/>
    <x v="0"/>
    <x v="39"/>
    <n v="43.1"/>
    <x v="1"/>
    <d v="2025-01-03T00:00:00"/>
    <x v="2"/>
    <x v="2"/>
    <x v="1"/>
    <x v="0"/>
    <x v="3"/>
    <x v="3"/>
    <x v="0"/>
    <x v="2"/>
  </r>
  <r>
    <x v="40"/>
    <x v="1"/>
    <x v="2"/>
    <x v="40"/>
    <n v="417"/>
    <x v="1"/>
    <d v="2025-01-03T00:00:00"/>
    <x v="2"/>
    <x v="4"/>
    <x v="2"/>
    <x v="0"/>
    <x v="3"/>
    <x v="3"/>
    <x v="0"/>
    <x v="2"/>
  </r>
  <r>
    <x v="41"/>
    <x v="12"/>
    <x v="0"/>
    <x v="41"/>
    <n v="80.7"/>
    <x v="1"/>
    <d v="2025-01-03T00:00:00"/>
    <x v="1"/>
    <x v="0"/>
    <x v="2"/>
    <x v="0"/>
    <x v="16"/>
    <x v="3"/>
    <x v="0"/>
    <x v="1"/>
  </r>
  <r>
    <x v="42"/>
    <x v="4"/>
    <x v="1"/>
    <x v="42"/>
    <n v="109"/>
    <x v="1"/>
    <d v="2025-01-04T00:00:00"/>
    <x v="1"/>
    <x v="1"/>
    <x v="1"/>
    <x v="0"/>
    <x v="6"/>
    <x v="1"/>
    <x v="0"/>
    <x v="1"/>
  </r>
  <r>
    <x v="43"/>
    <x v="6"/>
    <x v="2"/>
    <x v="43"/>
    <n v="205.79999999999998"/>
    <x v="1"/>
    <d v="2025-01-02T00:00:00"/>
    <x v="2"/>
    <x v="0"/>
    <x v="1"/>
    <x v="0"/>
    <x v="8"/>
    <x v="7"/>
    <x v="0"/>
    <x v="2"/>
  </r>
  <r>
    <x v="44"/>
    <x v="2"/>
    <x v="12"/>
    <x v="44"/>
    <n v="543.6"/>
    <x v="1"/>
    <d v="2025-01-03T00:00:00"/>
    <x v="2"/>
    <x v="2"/>
    <x v="2"/>
    <x v="0"/>
    <x v="8"/>
    <x v="3"/>
    <x v="0"/>
    <x v="2"/>
  </r>
  <r>
    <x v="45"/>
    <x v="2"/>
    <x v="12"/>
    <x v="45"/>
    <n v="283.60000000000002"/>
    <x v="1"/>
    <d v="2025-01-03T00:00:00"/>
    <x v="2"/>
    <x v="0"/>
    <x v="0"/>
    <x v="0"/>
    <x v="17"/>
    <x v="3"/>
    <x v="0"/>
    <x v="2"/>
  </r>
  <r>
    <x v="46"/>
    <x v="1"/>
    <x v="9"/>
    <x v="46"/>
    <n v="318.5"/>
    <x v="1"/>
    <d v="2025-01-03T00:00:00"/>
    <x v="1"/>
    <x v="1"/>
    <x v="1"/>
    <x v="0"/>
    <x v="9"/>
    <x v="3"/>
    <x v="0"/>
    <x v="1"/>
  </r>
  <r>
    <x v="47"/>
    <x v="13"/>
    <x v="0"/>
    <x v="47"/>
    <n v="29.7"/>
    <x v="1"/>
    <d v="2025-01-04T00:00:00"/>
    <x v="2"/>
    <x v="1"/>
    <x v="0"/>
    <x v="0"/>
    <x v="11"/>
    <x v="1"/>
    <x v="0"/>
    <x v="2"/>
  </r>
  <r>
    <x v="48"/>
    <x v="4"/>
    <x v="2"/>
    <x v="48"/>
    <n v="80.400000000000006"/>
    <x v="1"/>
    <d v="2025-01-11T00:00:00"/>
    <x v="2"/>
    <x v="1"/>
    <x v="2"/>
    <x v="0"/>
    <x v="11"/>
    <x v="8"/>
    <x v="0"/>
    <x v="2"/>
  </r>
  <r>
    <x v="49"/>
    <x v="14"/>
    <x v="0"/>
    <x v="49"/>
    <n v="27"/>
    <x v="1"/>
    <d v="2025-01-04T00:00:00"/>
    <x v="2"/>
    <x v="0"/>
    <x v="0"/>
    <x v="0"/>
    <x v="18"/>
    <x v="1"/>
    <x v="0"/>
    <x v="2"/>
  </r>
  <r>
    <x v="50"/>
    <x v="8"/>
    <x v="0"/>
    <x v="50"/>
    <n v="41.4"/>
    <x v="1"/>
    <d v="2025-01-03T00:00:00"/>
    <x v="1"/>
    <x v="1"/>
    <x v="2"/>
    <x v="0"/>
    <x v="19"/>
    <x v="3"/>
    <x v="0"/>
    <x v="1"/>
  </r>
  <r>
    <x v="51"/>
    <x v="8"/>
    <x v="1"/>
    <x v="51"/>
    <n v="48.6"/>
    <x v="1"/>
    <d v="2025-01-05T00:00:00"/>
    <x v="2"/>
    <x v="1"/>
    <x v="0"/>
    <x v="0"/>
    <x v="19"/>
    <x v="2"/>
    <x v="0"/>
    <x v="2"/>
  </r>
  <r>
    <x v="52"/>
    <x v="8"/>
    <x v="2"/>
    <x v="52"/>
    <n v="125.10000000000001"/>
    <x v="1"/>
    <d v="2025-01-04T00:00:00"/>
    <x v="1"/>
    <x v="0"/>
    <x v="2"/>
    <x v="0"/>
    <x v="20"/>
    <x v="1"/>
    <x v="0"/>
    <x v="1"/>
  </r>
  <r>
    <x v="53"/>
    <x v="0"/>
    <x v="1"/>
    <x v="53"/>
    <n v="36"/>
    <x v="1"/>
    <d v="2025-01-03T00:00:00"/>
    <x v="2"/>
    <x v="0"/>
    <x v="2"/>
    <x v="0"/>
    <x v="21"/>
    <x v="3"/>
    <x v="0"/>
    <x v="2"/>
  </r>
  <r>
    <x v="54"/>
    <x v="7"/>
    <x v="2"/>
    <x v="54"/>
    <n v="273.89999999999998"/>
    <x v="1"/>
    <d v="2025-01-05T00:00:00"/>
    <x v="1"/>
    <x v="2"/>
    <x v="2"/>
    <x v="0"/>
    <x v="3"/>
    <x v="2"/>
    <x v="0"/>
    <x v="1"/>
  </r>
  <r>
    <x v="55"/>
    <x v="8"/>
    <x v="8"/>
    <x v="55"/>
    <n v="154.4"/>
    <x v="1"/>
    <d v="2025-01-03T00:00:00"/>
    <x v="1"/>
    <x v="0"/>
    <x v="0"/>
    <x v="0"/>
    <x v="3"/>
    <x v="3"/>
    <x v="0"/>
    <x v="1"/>
  </r>
  <r>
    <x v="56"/>
    <x v="12"/>
    <x v="15"/>
    <x v="56"/>
    <n v="821.6"/>
    <x v="1"/>
    <d v="2025-01-03T00:00:00"/>
    <x v="2"/>
    <x v="0"/>
    <x v="0"/>
    <x v="0"/>
    <x v="3"/>
    <x v="3"/>
    <x v="0"/>
    <x v="2"/>
  </r>
  <r>
    <x v="57"/>
    <x v="10"/>
    <x v="11"/>
    <x v="57"/>
    <n v="299.7"/>
    <x v="2"/>
    <d v="2025-01-11T00:00:00"/>
    <x v="2"/>
    <x v="0"/>
    <x v="2"/>
    <x v="0"/>
    <x v="3"/>
    <x v="9"/>
    <x v="0"/>
    <x v="2"/>
  </r>
  <r>
    <x v="58"/>
    <x v="7"/>
    <x v="1"/>
    <x v="58"/>
    <n v="128.4"/>
    <x v="2"/>
    <d v="2025-01-04T00:00:00"/>
    <x v="1"/>
    <x v="0"/>
    <x v="2"/>
    <x v="0"/>
    <x v="3"/>
    <x v="3"/>
    <x v="0"/>
    <x v="1"/>
  </r>
  <r>
    <x v="59"/>
    <x v="9"/>
    <x v="2"/>
    <x v="59"/>
    <n v="69.300000000000011"/>
    <x v="2"/>
    <d v="2025-01-06T00:00:00"/>
    <x v="2"/>
    <x v="1"/>
    <x v="2"/>
    <x v="0"/>
    <x v="3"/>
    <x v="2"/>
    <x v="0"/>
    <x v="2"/>
  </r>
  <r>
    <x v="60"/>
    <x v="15"/>
    <x v="1"/>
    <x v="60"/>
    <n v="142.19999999999999"/>
    <x v="2"/>
    <d v="2025-01-05T00:00:00"/>
    <x v="2"/>
    <x v="3"/>
    <x v="1"/>
    <x v="0"/>
    <x v="3"/>
    <x v="1"/>
    <x v="0"/>
    <x v="2"/>
  </r>
  <r>
    <x v="61"/>
    <x v="0"/>
    <x v="1"/>
    <x v="61"/>
    <n v="23"/>
    <x v="2"/>
    <d v="2025-01-04T00:00:00"/>
    <x v="2"/>
    <x v="0"/>
    <x v="0"/>
    <x v="0"/>
    <x v="3"/>
    <x v="3"/>
    <x v="0"/>
    <x v="2"/>
  </r>
  <r>
    <x v="62"/>
    <x v="15"/>
    <x v="10"/>
    <x v="62"/>
    <n v="1314.8"/>
    <x v="2"/>
    <d v="2025-01-08T00:00:00"/>
    <x v="2"/>
    <x v="0"/>
    <x v="0"/>
    <x v="0"/>
    <x v="3"/>
    <x v="0"/>
    <x v="0"/>
    <x v="2"/>
  </r>
  <r>
    <x v="63"/>
    <x v="0"/>
    <x v="0"/>
    <x v="48"/>
    <n v="26.8"/>
    <x v="2"/>
    <d v="2025-01-04T00:00:00"/>
    <x v="1"/>
    <x v="2"/>
    <x v="4"/>
    <x v="0"/>
    <x v="3"/>
    <x v="3"/>
    <x v="0"/>
    <x v="1"/>
  </r>
  <r>
    <x v="64"/>
    <x v="16"/>
    <x v="2"/>
    <x v="63"/>
    <n v="93.6"/>
    <x v="2"/>
    <d v="2025-01-06T00:00:00"/>
    <x v="2"/>
    <x v="0"/>
    <x v="0"/>
    <x v="0"/>
    <x v="3"/>
    <x v="2"/>
    <x v="0"/>
    <x v="2"/>
  </r>
  <r>
    <x v="65"/>
    <x v="12"/>
    <x v="1"/>
    <x v="64"/>
    <n v="226.4"/>
    <x v="2"/>
    <d v="2025-01-04T00:00:00"/>
    <x v="2"/>
    <x v="4"/>
    <x v="0"/>
    <x v="0"/>
    <x v="3"/>
    <x v="3"/>
    <x v="0"/>
    <x v="2"/>
  </r>
  <r>
    <x v="66"/>
    <x v="10"/>
    <x v="8"/>
    <x v="65"/>
    <n v="168"/>
    <x v="2"/>
    <d v="2025-01-04T00:00:00"/>
    <x v="1"/>
    <x v="0"/>
    <x v="0"/>
    <x v="0"/>
    <x v="6"/>
    <x v="3"/>
    <x v="0"/>
    <x v="1"/>
  </r>
  <r>
    <x v="67"/>
    <x v="1"/>
    <x v="1"/>
    <x v="66"/>
    <n v="178.2"/>
    <x v="2"/>
    <d v="2025-01-04T00:00:00"/>
    <x v="2"/>
    <x v="2"/>
    <x v="2"/>
    <x v="0"/>
    <x v="6"/>
    <x v="3"/>
    <x v="0"/>
    <x v="2"/>
  </r>
  <r>
    <x v="68"/>
    <x v="1"/>
    <x v="0"/>
    <x v="67"/>
    <n v="97.7"/>
    <x v="2"/>
    <d v="2025-01-05T00:00:00"/>
    <x v="2"/>
    <x v="0"/>
    <x v="1"/>
    <x v="0"/>
    <x v="6"/>
    <x v="1"/>
    <x v="0"/>
    <x v="2"/>
  </r>
  <r>
    <x v="69"/>
    <x v="15"/>
    <x v="12"/>
    <x v="67"/>
    <n v="390.8"/>
    <x v="2"/>
    <d v="2025-01-05T00:00:00"/>
    <x v="1"/>
    <x v="3"/>
    <x v="0"/>
    <x v="0"/>
    <x v="6"/>
    <x v="1"/>
    <x v="0"/>
    <x v="1"/>
  </r>
  <r>
    <x v="70"/>
    <x v="17"/>
    <x v="2"/>
    <x v="68"/>
    <n v="142.19999999999999"/>
    <x v="2"/>
    <d v="2025-01-06T00:00:00"/>
    <x v="1"/>
    <x v="3"/>
    <x v="2"/>
    <x v="0"/>
    <x v="8"/>
    <x v="2"/>
    <x v="0"/>
    <x v="1"/>
  </r>
  <r>
    <x v="71"/>
    <x v="7"/>
    <x v="0"/>
    <x v="69"/>
    <n v="89.6"/>
    <x v="2"/>
    <d v="2025-01-06T00:00:00"/>
    <x v="2"/>
    <x v="0"/>
    <x v="2"/>
    <x v="0"/>
    <x v="8"/>
    <x v="2"/>
    <x v="0"/>
    <x v="2"/>
  </r>
  <r>
    <x v="72"/>
    <x v="10"/>
    <x v="16"/>
    <x v="70"/>
    <n v="511.2"/>
    <x v="2"/>
    <d v="2025-01-06T00:00:00"/>
    <x v="2"/>
    <x v="3"/>
    <x v="2"/>
    <x v="0"/>
    <x v="17"/>
    <x v="2"/>
    <x v="0"/>
    <x v="2"/>
  </r>
  <r>
    <x v="73"/>
    <x v="0"/>
    <x v="1"/>
    <x v="71"/>
    <n v="35.799999999999997"/>
    <x v="2"/>
    <d v="2025-01-04T00:00:00"/>
    <x v="2"/>
    <x v="0"/>
    <x v="2"/>
    <x v="0"/>
    <x v="9"/>
    <x v="3"/>
    <x v="0"/>
    <x v="2"/>
  </r>
  <r>
    <x v="74"/>
    <x v="9"/>
    <x v="1"/>
    <x v="72"/>
    <n v="96.8"/>
    <x v="2"/>
    <d v="2025-01-06T00:00:00"/>
    <x v="1"/>
    <x v="1"/>
    <x v="0"/>
    <x v="0"/>
    <x v="9"/>
    <x v="2"/>
    <x v="0"/>
    <x v="1"/>
  </r>
  <r>
    <x v="75"/>
    <x v="12"/>
    <x v="12"/>
    <x v="73"/>
    <n v="177.6"/>
    <x v="2"/>
    <d v="2025-01-04T00:00:00"/>
    <x v="3"/>
    <x v="1"/>
    <x v="1"/>
    <x v="0"/>
    <x v="11"/>
    <x v="3"/>
    <x v="0"/>
    <x v="3"/>
  </r>
  <r>
    <x v="76"/>
    <x v="2"/>
    <x v="8"/>
    <x v="74"/>
    <n v="829.6"/>
    <x v="2"/>
    <d v="2025-01-04T00:00:00"/>
    <x v="2"/>
    <x v="0"/>
    <x v="1"/>
    <x v="0"/>
    <x v="19"/>
    <x v="3"/>
    <x v="0"/>
    <x v="2"/>
  </r>
  <r>
    <x v="77"/>
    <x v="5"/>
    <x v="12"/>
    <x v="75"/>
    <n v="234.4"/>
    <x v="2"/>
    <d v="2025-01-05T00:00:00"/>
    <x v="1"/>
    <x v="3"/>
    <x v="0"/>
    <x v="0"/>
    <x v="19"/>
    <x v="1"/>
    <x v="0"/>
    <x v="1"/>
  </r>
  <r>
    <x v="78"/>
    <x v="9"/>
    <x v="12"/>
    <x v="76"/>
    <n v="219.2"/>
    <x v="2"/>
    <d v="2025-01-07T00:00:00"/>
    <x v="2"/>
    <x v="2"/>
    <x v="1"/>
    <x v="0"/>
    <x v="13"/>
    <x v="5"/>
    <x v="0"/>
    <x v="2"/>
  </r>
  <r>
    <x v="79"/>
    <x v="12"/>
    <x v="2"/>
    <x v="77"/>
    <n v="236.39999999999998"/>
    <x v="2"/>
    <d v="2025-01-09T00:00:00"/>
    <x v="2"/>
    <x v="4"/>
    <x v="1"/>
    <x v="0"/>
    <x v="21"/>
    <x v="4"/>
    <x v="0"/>
    <x v="2"/>
  </r>
  <r>
    <x v="80"/>
    <x v="18"/>
    <x v="9"/>
    <x v="78"/>
    <n v="184"/>
    <x v="2"/>
    <d v="2025-01-06T00:00:00"/>
    <x v="1"/>
    <x v="4"/>
    <x v="1"/>
    <x v="0"/>
    <x v="22"/>
    <x v="2"/>
    <x v="0"/>
    <x v="1"/>
  </r>
  <r>
    <x v="81"/>
    <x v="6"/>
    <x v="13"/>
    <x v="79"/>
    <n v="303.60000000000002"/>
    <x v="2"/>
    <d v="2025-01-05T00:00:00"/>
    <x v="2"/>
    <x v="3"/>
    <x v="0"/>
    <x v="0"/>
    <x v="3"/>
    <x v="1"/>
    <x v="0"/>
    <x v="2"/>
  </r>
  <r>
    <x v="82"/>
    <x v="15"/>
    <x v="2"/>
    <x v="78"/>
    <n v="110.39999999999999"/>
    <x v="2"/>
    <d v="2025-01-03T00:00:00"/>
    <x v="1"/>
    <x v="2"/>
    <x v="1"/>
    <x v="0"/>
    <x v="3"/>
    <x v="7"/>
    <x v="0"/>
    <x v="1"/>
  </r>
  <r>
    <x v="83"/>
    <x v="8"/>
    <x v="11"/>
    <x v="80"/>
    <n v="376.2"/>
    <x v="3"/>
    <d v="2025-01-10T00:00:00"/>
    <x v="2"/>
    <x v="3"/>
    <x v="0"/>
    <x v="0"/>
    <x v="3"/>
    <x v="4"/>
    <x v="0"/>
    <x v="2"/>
  </r>
  <r>
    <x v="84"/>
    <x v="18"/>
    <x v="0"/>
    <x v="81"/>
    <n v="77.3"/>
    <x v="3"/>
    <d v="2025-01-05T00:00:00"/>
    <x v="1"/>
    <x v="4"/>
    <x v="4"/>
    <x v="0"/>
    <x v="3"/>
    <x v="3"/>
    <x v="0"/>
    <x v="1"/>
  </r>
  <r>
    <x v="85"/>
    <x v="8"/>
    <x v="12"/>
    <x v="82"/>
    <n v="79.2"/>
    <x v="3"/>
    <d v="2025-01-10T00:00:00"/>
    <x v="1"/>
    <x v="1"/>
    <x v="2"/>
    <x v="0"/>
    <x v="3"/>
    <x v="4"/>
    <x v="0"/>
    <x v="1"/>
  </r>
  <r>
    <x v="86"/>
    <x v="13"/>
    <x v="12"/>
    <x v="83"/>
    <n v="62"/>
    <x v="3"/>
    <d v="2025-01-05T00:00:00"/>
    <x v="2"/>
    <x v="1"/>
    <x v="2"/>
    <x v="0"/>
    <x v="3"/>
    <x v="3"/>
    <x v="0"/>
    <x v="2"/>
  </r>
  <r>
    <x v="87"/>
    <x v="12"/>
    <x v="0"/>
    <x v="84"/>
    <n v="46.8"/>
    <x v="3"/>
    <d v="2025-01-08T00:00:00"/>
    <x v="1"/>
    <x v="0"/>
    <x v="2"/>
    <x v="0"/>
    <x v="3"/>
    <x v="5"/>
    <x v="0"/>
    <x v="1"/>
  </r>
  <r>
    <x v="88"/>
    <x v="9"/>
    <x v="11"/>
    <x v="85"/>
    <n v="257.40000000000003"/>
    <x v="3"/>
    <d v="2025-01-08T00:00:00"/>
    <x v="1"/>
    <x v="0"/>
    <x v="2"/>
    <x v="0"/>
    <x v="3"/>
    <x v="5"/>
    <x v="0"/>
    <x v="1"/>
  </r>
  <r>
    <x v="89"/>
    <x v="2"/>
    <x v="0"/>
    <x v="67"/>
    <n v="97.7"/>
    <x v="3"/>
    <d v="2025-01-07T00:00:00"/>
    <x v="2"/>
    <x v="1"/>
    <x v="0"/>
    <x v="0"/>
    <x v="3"/>
    <x v="2"/>
    <x v="0"/>
    <x v="2"/>
  </r>
  <r>
    <x v="90"/>
    <x v="9"/>
    <x v="9"/>
    <x v="86"/>
    <n v="273.5"/>
    <x v="3"/>
    <d v="2025-01-07T00:00:00"/>
    <x v="0"/>
    <x v="0"/>
    <x v="2"/>
    <x v="0"/>
    <x v="23"/>
    <x v="2"/>
    <x v="0"/>
    <x v="0"/>
  </r>
  <r>
    <x v="91"/>
    <x v="2"/>
    <x v="13"/>
    <x v="87"/>
    <n v="783"/>
    <x v="3"/>
    <d v="2025-01-06T00:00:00"/>
    <x v="2"/>
    <x v="0"/>
    <x v="1"/>
    <x v="0"/>
    <x v="23"/>
    <x v="1"/>
    <x v="0"/>
    <x v="2"/>
  </r>
  <r>
    <x v="92"/>
    <x v="11"/>
    <x v="1"/>
    <x v="88"/>
    <n v="100.8"/>
    <x v="3"/>
    <d v="2025-01-06T00:00:00"/>
    <x v="1"/>
    <x v="2"/>
    <x v="2"/>
    <x v="0"/>
    <x v="6"/>
    <x v="1"/>
    <x v="0"/>
    <x v="1"/>
  </r>
  <r>
    <x v="93"/>
    <x v="6"/>
    <x v="15"/>
    <x v="89"/>
    <n v="799.5"/>
    <x v="3"/>
    <d v="2025-01-05T00:00:00"/>
    <x v="0"/>
    <x v="3"/>
    <x v="1"/>
    <x v="0"/>
    <x v="11"/>
    <x v="3"/>
    <x v="0"/>
    <x v="0"/>
  </r>
  <r>
    <x v="94"/>
    <x v="9"/>
    <x v="12"/>
    <x v="90"/>
    <n v="120.4"/>
    <x v="3"/>
    <d v="2025-01-05T00:00:00"/>
    <x v="2"/>
    <x v="0"/>
    <x v="2"/>
    <x v="0"/>
    <x v="21"/>
    <x v="3"/>
    <x v="0"/>
    <x v="2"/>
  </r>
  <r>
    <x v="95"/>
    <x v="2"/>
    <x v="9"/>
    <x v="91"/>
    <n v="374"/>
    <x v="3"/>
    <d v="2025-01-05T00:00:00"/>
    <x v="2"/>
    <x v="1"/>
    <x v="0"/>
    <x v="0"/>
    <x v="1"/>
    <x v="3"/>
    <x v="0"/>
    <x v="2"/>
  </r>
  <r>
    <x v="96"/>
    <x v="16"/>
    <x v="2"/>
    <x v="92"/>
    <n v="194.70000000000002"/>
    <x v="3"/>
    <d v="2025-01-11T00:00:00"/>
    <x v="1"/>
    <x v="0"/>
    <x v="0"/>
    <x v="0"/>
    <x v="2"/>
    <x v="6"/>
    <x v="0"/>
    <x v="1"/>
  </r>
  <r>
    <x v="97"/>
    <x v="9"/>
    <x v="1"/>
    <x v="93"/>
    <n v="101"/>
    <x v="3"/>
    <d v="2025-01-06T00:00:00"/>
    <x v="1"/>
    <x v="1"/>
    <x v="0"/>
    <x v="0"/>
    <x v="22"/>
    <x v="1"/>
    <x v="0"/>
    <x v="1"/>
  </r>
  <r>
    <x v="98"/>
    <x v="11"/>
    <x v="3"/>
    <x v="94"/>
    <n v="441"/>
    <x v="3"/>
    <d v="2025-01-07T00:00:00"/>
    <x v="1"/>
    <x v="3"/>
    <x v="2"/>
    <x v="0"/>
    <x v="3"/>
    <x v="2"/>
    <x v="0"/>
    <x v="1"/>
  </r>
  <r>
    <x v="99"/>
    <x v="2"/>
    <x v="2"/>
    <x v="95"/>
    <n v="280.79999999999995"/>
    <x v="3"/>
    <d v="2025-01-17T00:00:00"/>
    <x v="2"/>
    <x v="0"/>
    <x v="2"/>
    <x v="0"/>
    <x v="3"/>
    <x v="10"/>
    <x v="0"/>
    <x v="2"/>
  </r>
  <r>
    <x v="100"/>
    <x v="5"/>
    <x v="17"/>
    <x v="50"/>
    <n v="1242"/>
    <x v="3"/>
    <d v="2025-01-08T00:00:00"/>
    <x v="1"/>
    <x v="2"/>
    <x v="2"/>
    <x v="0"/>
    <x v="3"/>
    <x v="5"/>
    <x v="0"/>
    <x v="1"/>
  </r>
  <r>
    <x v="101"/>
    <x v="2"/>
    <x v="1"/>
    <x v="96"/>
    <n v="320"/>
    <x v="4"/>
    <d v="2025-01-06T00:00:00"/>
    <x v="1"/>
    <x v="2"/>
    <x v="2"/>
    <x v="0"/>
    <x v="5"/>
    <x v="3"/>
    <x v="1"/>
    <x v="1"/>
  </r>
  <r>
    <x v="102"/>
    <x v="19"/>
    <x v="5"/>
    <x v="97"/>
    <n v="115.5"/>
    <x v="4"/>
    <d v="2025-01-08T00:00:00"/>
    <x v="2"/>
    <x v="4"/>
    <x v="0"/>
    <x v="0"/>
    <x v="8"/>
    <x v="2"/>
    <x v="1"/>
    <x v="2"/>
  </r>
  <r>
    <x v="103"/>
    <x v="10"/>
    <x v="1"/>
    <x v="98"/>
    <n v="106"/>
    <x v="4"/>
    <d v="2025-01-05T00:00:00"/>
    <x v="1"/>
    <x v="2"/>
    <x v="4"/>
    <x v="0"/>
    <x v="17"/>
    <x v="7"/>
    <x v="1"/>
    <x v="1"/>
  </r>
  <r>
    <x v="104"/>
    <x v="8"/>
    <x v="2"/>
    <x v="99"/>
    <n v="55.5"/>
    <x v="4"/>
    <d v="2025-01-10T00:00:00"/>
    <x v="2"/>
    <x v="1"/>
    <x v="2"/>
    <x v="0"/>
    <x v="11"/>
    <x v="0"/>
    <x v="1"/>
    <x v="2"/>
  </r>
  <r>
    <x v="105"/>
    <x v="16"/>
    <x v="2"/>
    <x v="100"/>
    <n v="253.5"/>
    <x v="4"/>
    <d v="2025-01-07T00:00:00"/>
    <x v="2"/>
    <x v="4"/>
    <x v="1"/>
    <x v="0"/>
    <x v="13"/>
    <x v="1"/>
    <x v="1"/>
    <x v="2"/>
  </r>
  <r>
    <x v="106"/>
    <x v="15"/>
    <x v="3"/>
    <x v="63"/>
    <n v="218.4"/>
    <x v="4"/>
    <d v="2025-01-05T00:00:00"/>
    <x v="2"/>
    <x v="2"/>
    <x v="2"/>
    <x v="0"/>
    <x v="3"/>
    <x v="7"/>
    <x v="1"/>
    <x v="2"/>
  </r>
  <r>
    <x v="107"/>
    <x v="8"/>
    <x v="16"/>
    <x v="101"/>
    <n v="586.80000000000007"/>
    <x v="4"/>
    <d v="2025-01-06T00:00:00"/>
    <x v="1"/>
    <x v="1"/>
    <x v="1"/>
    <x v="0"/>
    <x v="3"/>
    <x v="3"/>
    <x v="1"/>
    <x v="1"/>
  </r>
  <r>
    <x v="108"/>
    <x v="10"/>
    <x v="12"/>
    <x v="102"/>
    <n v="181.6"/>
    <x v="4"/>
    <d v="2025-01-07T00:00:00"/>
    <x v="1"/>
    <x v="1"/>
    <x v="0"/>
    <x v="0"/>
    <x v="3"/>
    <x v="1"/>
    <x v="1"/>
    <x v="1"/>
  </r>
  <r>
    <x v="109"/>
    <x v="2"/>
    <x v="4"/>
    <x v="103"/>
    <n v="1440"/>
    <x v="4"/>
    <d v="2025-01-06T00:00:00"/>
    <x v="2"/>
    <x v="2"/>
    <x v="4"/>
    <x v="0"/>
    <x v="3"/>
    <x v="3"/>
    <x v="1"/>
    <x v="2"/>
  </r>
  <r>
    <x v="110"/>
    <x v="0"/>
    <x v="12"/>
    <x v="104"/>
    <n v="75.599999999999994"/>
    <x v="4"/>
    <d v="2025-01-07T00:00:00"/>
    <x v="1"/>
    <x v="0"/>
    <x v="2"/>
    <x v="0"/>
    <x v="3"/>
    <x v="1"/>
    <x v="1"/>
    <x v="1"/>
  </r>
  <r>
    <x v="111"/>
    <x v="4"/>
    <x v="0"/>
    <x v="34"/>
    <n v="32"/>
    <x v="4"/>
    <d v="2025-01-07T00:00:00"/>
    <x v="2"/>
    <x v="4"/>
    <x v="0"/>
    <x v="0"/>
    <x v="3"/>
    <x v="1"/>
    <x v="1"/>
    <x v="2"/>
  </r>
  <r>
    <x v="112"/>
    <x v="7"/>
    <x v="1"/>
    <x v="105"/>
    <n v="74.599999999999994"/>
    <x v="4"/>
    <d v="2025-01-06T00:00:00"/>
    <x v="1"/>
    <x v="2"/>
    <x v="0"/>
    <x v="0"/>
    <x v="3"/>
    <x v="3"/>
    <x v="1"/>
    <x v="1"/>
  </r>
  <r>
    <x v="113"/>
    <x v="18"/>
    <x v="0"/>
    <x v="106"/>
    <n v="119.8"/>
    <x v="4"/>
    <d v="2025-01-06T00:00:00"/>
    <x v="1"/>
    <x v="1"/>
    <x v="1"/>
    <x v="0"/>
    <x v="3"/>
    <x v="3"/>
    <x v="1"/>
    <x v="1"/>
  </r>
  <r>
    <x v="114"/>
    <x v="10"/>
    <x v="1"/>
    <x v="23"/>
    <n v="52.8"/>
    <x v="4"/>
    <d v="2025-01-08T00:00:00"/>
    <x v="1"/>
    <x v="2"/>
    <x v="0"/>
    <x v="0"/>
    <x v="3"/>
    <x v="2"/>
    <x v="1"/>
    <x v="1"/>
  </r>
  <r>
    <x v="115"/>
    <x v="6"/>
    <x v="13"/>
    <x v="107"/>
    <n v="459"/>
    <x v="4"/>
    <d v="2025-01-06T00:00:00"/>
    <x v="2"/>
    <x v="1"/>
    <x v="1"/>
    <x v="0"/>
    <x v="3"/>
    <x v="3"/>
    <x v="1"/>
    <x v="2"/>
  </r>
  <r>
    <x v="116"/>
    <x v="4"/>
    <x v="7"/>
    <x v="108"/>
    <n v="457"/>
    <x v="4"/>
    <d v="2025-01-06T00:00:00"/>
    <x v="2"/>
    <x v="2"/>
    <x v="0"/>
    <x v="0"/>
    <x v="24"/>
    <x v="3"/>
    <x v="1"/>
    <x v="2"/>
  </r>
  <r>
    <x v="117"/>
    <x v="1"/>
    <x v="4"/>
    <x v="109"/>
    <n v="1111.1999999999998"/>
    <x v="4"/>
    <d v="2025-01-07T00:00:00"/>
    <x v="2"/>
    <x v="2"/>
    <x v="0"/>
    <x v="0"/>
    <x v="25"/>
    <x v="1"/>
    <x v="1"/>
    <x v="2"/>
  </r>
  <r>
    <x v="118"/>
    <x v="6"/>
    <x v="13"/>
    <x v="110"/>
    <n v="360.6"/>
    <x v="4"/>
    <d v="2025-01-06T00:00:00"/>
    <x v="1"/>
    <x v="1"/>
    <x v="0"/>
    <x v="0"/>
    <x v="23"/>
    <x v="3"/>
    <x v="1"/>
    <x v="1"/>
  </r>
  <r>
    <x v="119"/>
    <x v="1"/>
    <x v="2"/>
    <x v="111"/>
    <n v="219"/>
    <x v="4"/>
    <d v="2025-01-06T00:00:00"/>
    <x v="2"/>
    <x v="3"/>
    <x v="1"/>
    <x v="0"/>
    <x v="6"/>
    <x v="3"/>
    <x v="1"/>
    <x v="2"/>
  </r>
  <r>
    <x v="120"/>
    <x v="6"/>
    <x v="2"/>
    <x v="112"/>
    <n v="132.89999999999998"/>
    <x v="4"/>
    <d v="2025-01-09T00:00:00"/>
    <x v="0"/>
    <x v="2"/>
    <x v="2"/>
    <x v="0"/>
    <x v="6"/>
    <x v="5"/>
    <x v="1"/>
    <x v="0"/>
  </r>
  <r>
    <x v="121"/>
    <x v="6"/>
    <x v="2"/>
    <x v="113"/>
    <n v="189.89999999999998"/>
    <x v="4"/>
    <d v="2025-01-06T00:00:00"/>
    <x v="1"/>
    <x v="2"/>
    <x v="0"/>
    <x v="0"/>
    <x v="6"/>
    <x v="3"/>
    <x v="1"/>
    <x v="1"/>
  </r>
  <r>
    <x v="122"/>
    <x v="12"/>
    <x v="0"/>
    <x v="114"/>
    <n v="66.8"/>
    <x v="4"/>
    <d v="2025-01-06T00:00:00"/>
    <x v="2"/>
    <x v="1"/>
    <x v="0"/>
    <x v="0"/>
    <x v="6"/>
    <x v="3"/>
    <x v="1"/>
    <x v="2"/>
  </r>
  <r>
    <x v="123"/>
    <x v="2"/>
    <x v="1"/>
    <x v="115"/>
    <n v="119.4"/>
    <x v="4"/>
    <d v="2025-01-06T00:00:00"/>
    <x v="2"/>
    <x v="0"/>
    <x v="0"/>
    <x v="0"/>
    <x v="7"/>
    <x v="3"/>
    <x v="1"/>
    <x v="2"/>
  </r>
  <r>
    <x v="124"/>
    <x v="1"/>
    <x v="13"/>
    <x v="116"/>
    <n v="552"/>
    <x v="4"/>
    <d v="2025-01-07T00:00:00"/>
    <x v="1"/>
    <x v="0"/>
    <x v="4"/>
    <x v="0"/>
    <x v="7"/>
    <x v="1"/>
    <x v="1"/>
    <x v="1"/>
  </r>
  <r>
    <x v="125"/>
    <x v="7"/>
    <x v="1"/>
    <x v="117"/>
    <n v="175.2"/>
    <x v="4"/>
    <d v="2025-01-07T00:00:00"/>
    <x v="1"/>
    <x v="1"/>
    <x v="1"/>
    <x v="0"/>
    <x v="8"/>
    <x v="1"/>
    <x v="1"/>
    <x v="1"/>
  </r>
  <r>
    <x v="126"/>
    <x v="6"/>
    <x v="2"/>
    <x v="100"/>
    <n v="253.5"/>
    <x v="4"/>
    <d v="2025-01-06T00:00:00"/>
    <x v="2"/>
    <x v="1"/>
    <x v="1"/>
    <x v="0"/>
    <x v="8"/>
    <x v="3"/>
    <x v="1"/>
    <x v="2"/>
  </r>
  <r>
    <x v="127"/>
    <x v="1"/>
    <x v="1"/>
    <x v="118"/>
    <n v="232.6"/>
    <x v="5"/>
    <d v="2025-01-08T00:00:00"/>
    <x v="1"/>
    <x v="2"/>
    <x v="2"/>
    <x v="0"/>
    <x v="8"/>
    <x v="1"/>
    <x v="1"/>
    <x v="1"/>
  </r>
  <r>
    <x v="128"/>
    <x v="6"/>
    <x v="9"/>
    <x v="119"/>
    <n v="263.5"/>
    <x v="5"/>
    <d v="2025-01-10T00:00:00"/>
    <x v="1"/>
    <x v="0"/>
    <x v="0"/>
    <x v="0"/>
    <x v="8"/>
    <x v="5"/>
    <x v="1"/>
    <x v="1"/>
  </r>
  <r>
    <x v="129"/>
    <x v="16"/>
    <x v="2"/>
    <x v="120"/>
    <n v="102.60000000000001"/>
    <x v="5"/>
    <d v="2025-01-07T00:00:00"/>
    <x v="1"/>
    <x v="0"/>
    <x v="2"/>
    <x v="0"/>
    <x v="26"/>
    <x v="3"/>
    <x v="1"/>
    <x v="1"/>
  </r>
  <r>
    <x v="130"/>
    <x v="9"/>
    <x v="0"/>
    <x v="121"/>
    <n v="23.3"/>
    <x v="5"/>
    <d v="2025-01-15T00:00:00"/>
    <x v="3"/>
    <x v="2"/>
    <x v="2"/>
    <x v="0"/>
    <x v="9"/>
    <x v="8"/>
    <x v="1"/>
    <x v="3"/>
  </r>
  <r>
    <x v="131"/>
    <x v="0"/>
    <x v="18"/>
    <x v="122"/>
    <n v="673.4"/>
    <x v="5"/>
    <d v="2025-01-09T00:00:00"/>
    <x v="2"/>
    <x v="4"/>
    <x v="1"/>
    <x v="0"/>
    <x v="9"/>
    <x v="2"/>
    <x v="1"/>
    <x v="2"/>
  </r>
  <r>
    <x v="132"/>
    <x v="6"/>
    <x v="19"/>
    <x v="123"/>
    <n v="1592.1"/>
    <x v="5"/>
    <d v="2025-01-07T00:00:00"/>
    <x v="1"/>
    <x v="1"/>
    <x v="2"/>
    <x v="0"/>
    <x v="9"/>
    <x v="3"/>
    <x v="1"/>
    <x v="1"/>
  </r>
  <r>
    <x v="133"/>
    <x v="5"/>
    <x v="2"/>
    <x v="124"/>
    <n v="227.39999999999998"/>
    <x v="5"/>
    <d v="2025-01-11T00:00:00"/>
    <x v="3"/>
    <x v="1"/>
    <x v="0"/>
    <x v="0"/>
    <x v="18"/>
    <x v="0"/>
    <x v="1"/>
    <x v="3"/>
  </r>
  <r>
    <x v="134"/>
    <x v="1"/>
    <x v="11"/>
    <x v="125"/>
    <n v="404.09999999999997"/>
    <x v="5"/>
    <d v="2025-01-09T00:00:00"/>
    <x v="2"/>
    <x v="2"/>
    <x v="2"/>
    <x v="0"/>
    <x v="2"/>
    <x v="2"/>
    <x v="1"/>
    <x v="2"/>
  </r>
  <r>
    <x v="135"/>
    <x v="11"/>
    <x v="1"/>
    <x v="126"/>
    <n v="97.6"/>
    <x v="5"/>
    <d v="2025-01-08T00:00:00"/>
    <x v="2"/>
    <x v="3"/>
    <x v="0"/>
    <x v="0"/>
    <x v="27"/>
    <x v="1"/>
    <x v="1"/>
    <x v="2"/>
  </r>
  <r>
    <x v="136"/>
    <x v="15"/>
    <x v="0"/>
    <x v="127"/>
    <n v="20.3"/>
    <x v="5"/>
    <d v="2025-01-07T00:00:00"/>
    <x v="2"/>
    <x v="0"/>
    <x v="2"/>
    <x v="0"/>
    <x v="22"/>
    <x v="3"/>
    <x v="1"/>
    <x v="2"/>
  </r>
  <r>
    <x v="137"/>
    <x v="5"/>
    <x v="3"/>
    <x v="128"/>
    <n v="254.79999999999998"/>
    <x v="5"/>
    <d v="2025-01-09T00:00:00"/>
    <x v="2"/>
    <x v="0"/>
    <x v="1"/>
    <x v="0"/>
    <x v="3"/>
    <x v="2"/>
    <x v="1"/>
    <x v="2"/>
  </r>
  <r>
    <x v="138"/>
    <x v="0"/>
    <x v="0"/>
    <x v="129"/>
    <n v="19"/>
    <x v="5"/>
    <d v="2025-01-11T00:00:00"/>
    <x v="2"/>
    <x v="1"/>
    <x v="2"/>
    <x v="0"/>
    <x v="3"/>
    <x v="0"/>
    <x v="1"/>
    <x v="2"/>
  </r>
  <r>
    <x v="139"/>
    <x v="8"/>
    <x v="0"/>
    <x v="130"/>
    <n v="17.8"/>
    <x v="5"/>
    <d v="2025-01-06T00:00:00"/>
    <x v="1"/>
    <x v="0"/>
    <x v="0"/>
    <x v="0"/>
    <x v="3"/>
    <x v="7"/>
    <x v="1"/>
    <x v="1"/>
  </r>
  <r>
    <x v="140"/>
    <x v="2"/>
    <x v="13"/>
    <x v="131"/>
    <n v="837.59999999999991"/>
    <x v="5"/>
    <d v="2025-01-09T00:00:00"/>
    <x v="1"/>
    <x v="0"/>
    <x v="0"/>
    <x v="0"/>
    <x v="3"/>
    <x v="2"/>
    <x v="1"/>
    <x v="1"/>
  </r>
  <r>
    <x v="141"/>
    <x v="9"/>
    <x v="0"/>
    <x v="132"/>
    <n v="31.7"/>
    <x v="5"/>
    <d v="2025-01-06T00:00:00"/>
    <x v="0"/>
    <x v="0"/>
    <x v="0"/>
    <x v="0"/>
    <x v="3"/>
    <x v="7"/>
    <x v="1"/>
    <x v="0"/>
  </r>
  <r>
    <x v="142"/>
    <x v="8"/>
    <x v="8"/>
    <x v="133"/>
    <n v="210.4"/>
    <x v="5"/>
    <d v="2025-01-09T00:00:00"/>
    <x v="2"/>
    <x v="4"/>
    <x v="4"/>
    <x v="0"/>
    <x v="3"/>
    <x v="2"/>
    <x v="1"/>
    <x v="2"/>
  </r>
  <r>
    <x v="143"/>
    <x v="4"/>
    <x v="1"/>
    <x v="134"/>
    <n v="95.6"/>
    <x v="5"/>
    <d v="2025-01-07T00:00:00"/>
    <x v="0"/>
    <x v="0"/>
    <x v="0"/>
    <x v="0"/>
    <x v="3"/>
    <x v="3"/>
    <x v="1"/>
    <x v="0"/>
  </r>
  <r>
    <x v="144"/>
    <x v="9"/>
    <x v="2"/>
    <x v="135"/>
    <n v="208.20000000000002"/>
    <x v="5"/>
    <d v="2025-01-10T00:00:00"/>
    <x v="2"/>
    <x v="0"/>
    <x v="0"/>
    <x v="0"/>
    <x v="3"/>
    <x v="5"/>
    <x v="1"/>
    <x v="2"/>
  </r>
  <r>
    <x v="145"/>
    <x v="18"/>
    <x v="4"/>
    <x v="136"/>
    <n v="309.60000000000002"/>
    <x v="5"/>
    <d v="2025-01-07T00:00:00"/>
    <x v="1"/>
    <x v="4"/>
    <x v="4"/>
    <x v="0"/>
    <x v="3"/>
    <x v="3"/>
    <x v="1"/>
    <x v="1"/>
  </r>
  <r>
    <x v="146"/>
    <x v="0"/>
    <x v="12"/>
    <x v="23"/>
    <n v="105.6"/>
    <x v="5"/>
    <d v="2025-01-07T00:00:00"/>
    <x v="1"/>
    <x v="1"/>
    <x v="2"/>
    <x v="0"/>
    <x v="3"/>
    <x v="3"/>
    <x v="1"/>
    <x v="1"/>
  </r>
  <r>
    <x v="147"/>
    <x v="8"/>
    <x v="12"/>
    <x v="137"/>
    <n v="62.8"/>
    <x v="5"/>
    <d v="2025-01-07T00:00:00"/>
    <x v="1"/>
    <x v="2"/>
    <x v="0"/>
    <x v="0"/>
    <x v="3"/>
    <x v="3"/>
    <x v="1"/>
    <x v="1"/>
  </r>
  <r>
    <x v="148"/>
    <x v="8"/>
    <x v="0"/>
    <x v="138"/>
    <n v="39.700000000000003"/>
    <x v="5"/>
    <d v="2025-01-10T00:00:00"/>
    <x v="1"/>
    <x v="0"/>
    <x v="0"/>
    <x v="0"/>
    <x v="3"/>
    <x v="5"/>
    <x v="1"/>
    <x v="1"/>
  </r>
  <r>
    <x v="149"/>
    <x v="10"/>
    <x v="12"/>
    <x v="16"/>
    <n v="124.4"/>
    <x v="5"/>
    <d v="2025-01-08T00:00:00"/>
    <x v="2"/>
    <x v="2"/>
    <x v="1"/>
    <x v="0"/>
    <x v="3"/>
    <x v="1"/>
    <x v="1"/>
    <x v="2"/>
  </r>
  <r>
    <x v="150"/>
    <x v="13"/>
    <x v="20"/>
    <x v="139"/>
    <n v="351"/>
    <x v="5"/>
    <d v="2025-01-15T00:00:00"/>
    <x v="1"/>
    <x v="0"/>
    <x v="0"/>
    <x v="0"/>
    <x v="3"/>
    <x v="8"/>
    <x v="1"/>
    <x v="1"/>
  </r>
  <r>
    <x v="151"/>
    <x v="1"/>
    <x v="12"/>
    <x v="140"/>
    <n v="228.4"/>
    <x v="6"/>
    <d v="2025-01-08T00:00:00"/>
    <x v="1"/>
    <x v="2"/>
    <x v="0"/>
    <x v="0"/>
    <x v="25"/>
    <x v="3"/>
    <x v="1"/>
    <x v="1"/>
  </r>
  <r>
    <x v="152"/>
    <x v="2"/>
    <x v="9"/>
    <x v="141"/>
    <n v="449.5"/>
    <x v="6"/>
    <d v="2025-01-07T00:00:00"/>
    <x v="2"/>
    <x v="0"/>
    <x v="3"/>
    <x v="0"/>
    <x v="23"/>
    <x v="7"/>
    <x v="1"/>
    <x v="2"/>
  </r>
  <r>
    <x v="153"/>
    <x v="10"/>
    <x v="3"/>
    <x v="142"/>
    <n v="336.7"/>
    <x v="6"/>
    <d v="2025-01-09T00:00:00"/>
    <x v="2"/>
    <x v="1"/>
    <x v="2"/>
    <x v="0"/>
    <x v="6"/>
    <x v="1"/>
    <x v="1"/>
    <x v="2"/>
  </r>
  <r>
    <x v="154"/>
    <x v="8"/>
    <x v="1"/>
    <x v="143"/>
    <n v="58.6"/>
    <x v="6"/>
    <d v="2025-01-07T00:00:00"/>
    <x v="2"/>
    <x v="1"/>
    <x v="1"/>
    <x v="0"/>
    <x v="6"/>
    <x v="7"/>
    <x v="1"/>
    <x v="2"/>
  </r>
  <r>
    <x v="155"/>
    <x v="8"/>
    <x v="12"/>
    <x v="144"/>
    <n v="115.2"/>
    <x v="6"/>
    <d v="2025-01-08T00:00:00"/>
    <x v="2"/>
    <x v="0"/>
    <x v="4"/>
    <x v="0"/>
    <x v="6"/>
    <x v="3"/>
    <x v="1"/>
    <x v="2"/>
  </r>
  <r>
    <x v="156"/>
    <x v="10"/>
    <x v="9"/>
    <x v="145"/>
    <n v="202.5"/>
    <x v="6"/>
    <d v="2025-01-11T00:00:00"/>
    <x v="2"/>
    <x v="3"/>
    <x v="0"/>
    <x v="0"/>
    <x v="6"/>
    <x v="5"/>
    <x v="1"/>
    <x v="2"/>
  </r>
  <r>
    <x v="157"/>
    <x v="18"/>
    <x v="21"/>
    <x v="146"/>
    <n v="911.39999999999986"/>
    <x v="6"/>
    <d v="2025-01-08T00:00:00"/>
    <x v="2"/>
    <x v="4"/>
    <x v="0"/>
    <x v="0"/>
    <x v="7"/>
    <x v="3"/>
    <x v="1"/>
    <x v="2"/>
  </r>
  <r>
    <x v="158"/>
    <x v="8"/>
    <x v="12"/>
    <x v="7"/>
    <n v="161.19999999999999"/>
    <x v="6"/>
    <d v="2025-01-12T00:00:00"/>
    <x v="2"/>
    <x v="2"/>
    <x v="0"/>
    <x v="0"/>
    <x v="7"/>
    <x v="0"/>
    <x v="1"/>
    <x v="2"/>
  </r>
  <r>
    <x v="159"/>
    <x v="6"/>
    <x v="9"/>
    <x v="147"/>
    <n v="259"/>
    <x v="6"/>
    <d v="2025-01-08T00:00:00"/>
    <x v="1"/>
    <x v="2"/>
    <x v="2"/>
    <x v="0"/>
    <x v="8"/>
    <x v="3"/>
    <x v="1"/>
    <x v="1"/>
  </r>
  <r>
    <x v="160"/>
    <x v="6"/>
    <x v="2"/>
    <x v="148"/>
    <n v="183.89999999999998"/>
    <x v="6"/>
    <d v="2025-01-08T00:00:00"/>
    <x v="2"/>
    <x v="3"/>
    <x v="0"/>
    <x v="0"/>
    <x v="8"/>
    <x v="3"/>
    <x v="1"/>
    <x v="2"/>
  </r>
  <r>
    <x v="161"/>
    <x v="2"/>
    <x v="12"/>
    <x v="149"/>
    <n v="490"/>
    <x v="6"/>
    <d v="2025-01-08T00:00:00"/>
    <x v="1"/>
    <x v="0"/>
    <x v="0"/>
    <x v="0"/>
    <x v="8"/>
    <x v="3"/>
    <x v="1"/>
    <x v="1"/>
  </r>
  <r>
    <x v="162"/>
    <x v="0"/>
    <x v="11"/>
    <x v="150"/>
    <n v="112.5"/>
    <x v="6"/>
    <d v="2025-01-08T00:00:00"/>
    <x v="0"/>
    <x v="1"/>
    <x v="2"/>
    <x v="0"/>
    <x v="8"/>
    <x v="3"/>
    <x v="1"/>
    <x v="0"/>
  </r>
  <r>
    <x v="163"/>
    <x v="15"/>
    <x v="8"/>
    <x v="151"/>
    <n v="300"/>
    <x v="6"/>
    <d v="2025-01-08T00:00:00"/>
    <x v="2"/>
    <x v="0"/>
    <x v="0"/>
    <x v="0"/>
    <x v="9"/>
    <x v="3"/>
    <x v="1"/>
    <x v="2"/>
  </r>
  <r>
    <x v="164"/>
    <x v="6"/>
    <x v="2"/>
    <x v="152"/>
    <n v="120"/>
    <x v="6"/>
    <d v="2025-01-10T00:00:00"/>
    <x v="1"/>
    <x v="0"/>
    <x v="4"/>
    <x v="0"/>
    <x v="11"/>
    <x v="2"/>
    <x v="1"/>
    <x v="1"/>
  </r>
  <r>
    <x v="165"/>
    <x v="17"/>
    <x v="8"/>
    <x v="153"/>
    <n v="308"/>
    <x v="6"/>
    <d v="2025-01-12T00:00:00"/>
    <x v="2"/>
    <x v="2"/>
    <x v="1"/>
    <x v="0"/>
    <x v="11"/>
    <x v="0"/>
    <x v="1"/>
    <x v="2"/>
  </r>
  <r>
    <x v="166"/>
    <x v="2"/>
    <x v="1"/>
    <x v="154"/>
    <n v="172.8"/>
    <x v="6"/>
    <d v="2025-01-09T00:00:00"/>
    <x v="2"/>
    <x v="0"/>
    <x v="0"/>
    <x v="0"/>
    <x v="18"/>
    <x v="1"/>
    <x v="1"/>
    <x v="2"/>
  </r>
  <r>
    <x v="167"/>
    <x v="10"/>
    <x v="0"/>
    <x v="155"/>
    <n v="50.7"/>
    <x v="6"/>
    <d v="2025-01-11T00:00:00"/>
    <x v="2"/>
    <x v="1"/>
    <x v="0"/>
    <x v="0"/>
    <x v="18"/>
    <x v="5"/>
    <x v="1"/>
    <x v="2"/>
  </r>
  <r>
    <x v="168"/>
    <x v="10"/>
    <x v="1"/>
    <x v="156"/>
    <n v="122"/>
    <x v="6"/>
    <d v="2025-01-18T00:00:00"/>
    <x v="2"/>
    <x v="4"/>
    <x v="1"/>
    <x v="0"/>
    <x v="18"/>
    <x v="11"/>
    <x v="1"/>
    <x v="2"/>
  </r>
  <r>
    <x v="169"/>
    <x v="4"/>
    <x v="1"/>
    <x v="157"/>
    <n v="39.799999999999997"/>
    <x v="6"/>
    <d v="2025-01-10T00:00:00"/>
    <x v="2"/>
    <x v="1"/>
    <x v="0"/>
    <x v="0"/>
    <x v="28"/>
    <x v="2"/>
    <x v="1"/>
    <x v="2"/>
  </r>
  <r>
    <x v="170"/>
    <x v="5"/>
    <x v="0"/>
    <x v="158"/>
    <n v="78.3"/>
    <x v="6"/>
    <d v="2025-01-07T00:00:00"/>
    <x v="2"/>
    <x v="0"/>
    <x v="2"/>
    <x v="0"/>
    <x v="1"/>
    <x v="7"/>
    <x v="1"/>
    <x v="2"/>
  </r>
  <r>
    <x v="171"/>
    <x v="0"/>
    <x v="10"/>
    <x v="159"/>
    <n v="197.6"/>
    <x v="6"/>
    <d v="2025-01-09T00:00:00"/>
    <x v="1"/>
    <x v="0"/>
    <x v="2"/>
    <x v="0"/>
    <x v="2"/>
    <x v="1"/>
    <x v="1"/>
    <x v="1"/>
  </r>
  <r>
    <x v="172"/>
    <x v="10"/>
    <x v="0"/>
    <x v="160"/>
    <n v="36.1"/>
    <x v="6"/>
    <d v="2025-01-10T00:00:00"/>
    <x v="1"/>
    <x v="3"/>
    <x v="2"/>
    <x v="0"/>
    <x v="3"/>
    <x v="2"/>
    <x v="1"/>
    <x v="1"/>
  </r>
  <r>
    <x v="173"/>
    <x v="14"/>
    <x v="1"/>
    <x v="161"/>
    <n v="34.6"/>
    <x v="6"/>
    <d v="2025-01-09T00:00:00"/>
    <x v="2"/>
    <x v="1"/>
    <x v="2"/>
    <x v="0"/>
    <x v="3"/>
    <x v="1"/>
    <x v="1"/>
    <x v="2"/>
  </r>
  <r>
    <x v="174"/>
    <x v="10"/>
    <x v="1"/>
    <x v="162"/>
    <n v="61"/>
    <x v="6"/>
    <d v="2025-01-08T00:00:00"/>
    <x v="2"/>
    <x v="1"/>
    <x v="2"/>
    <x v="0"/>
    <x v="3"/>
    <x v="3"/>
    <x v="1"/>
    <x v="2"/>
  </r>
  <r>
    <x v="175"/>
    <x v="18"/>
    <x v="22"/>
    <x v="163"/>
    <n v="4346.2"/>
    <x v="6"/>
    <d v="2025-01-07T00:00:00"/>
    <x v="2"/>
    <x v="2"/>
    <x v="0"/>
    <x v="0"/>
    <x v="3"/>
    <x v="7"/>
    <x v="1"/>
    <x v="2"/>
  </r>
  <r>
    <x v="176"/>
    <x v="3"/>
    <x v="0"/>
    <x v="164"/>
    <n v="76.099999999999994"/>
    <x v="6"/>
    <d v="2025-01-07T00:00:00"/>
    <x v="2"/>
    <x v="2"/>
    <x v="1"/>
    <x v="0"/>
    <x v="3"/>
    <x v="7"/>
    <x v="1"/>
    <x v="2"/>
  </r>
  <r>
    <x v="177"/>
    <x v="15"/>
    <x v="15"/>
    <x v="120"/>
    <n v="444.6"/>
    <x v="6"/>
    <d v="2025-01-08T00:00:00"/>
    <x v="1"/>
    <x v="0"/>
    <x v="0"/>
    <x v="0"/>
    <x v="3"/>
    <x v="3"/>
    <x v="1"/>
    <x v="1"/>
  </r>
  <r>
    <x v="178"/>
    <x v="8"/>
    <x v="9"/>
    <x v="165"/>
    <n v="151.5"/>
    <x v="6"/>
    <d v="2025-01-12T00:00:00"/>
    <x v="2"/>
    <x v="4"/>
    <x v="0"/>
    <x v="0"/>
    <x v="3"/>
    <x v="0"/>
    <x v="1"/>
    <x v="2"/>
  </r>
  <r>
    <x v="179"/>
    <x v="6"/>
    <x v="9"/>
    <x v="166"/>
    <n v="262.5"/>
    <x v="6"/>
    <d v="2025-01-11T00:00:00"/>
    <x v="0"/>
    <x v="3"/>
    <x v="0"/>
    <x v="0"/>
    <x v="3"/>
    <x v="5"/>
    <x v="1"/>
    <x v="0"/>
  </r>
  <r>
    <x v="180"/>
    <x v="9"/>
    <x v="5"/>
    <x v="167"/>
    <n v="315.7"/>
    <x v="6"/>
    <d v="2025-01-08T00:00:00"/>
    <x v="2"/>
    <x v="2"/>
    <x v="0"/>
    <x v="0"/>
    <x v="3"/>
    <x v="3"/>
    <x v="1"/>
    <x v="2"/>
  </r>
  <r>
    <x v="181"/>
    <x v="7"/>
    <x v="3"/>
    <x v="168"/>
    <n v="364"/>
    <x v="6"/>
    <d v="2025-01-08T00:00:00"/>
    <x v="1"/>
    <x v="1"/>
    <x v="4"/>
    <x v="0"/>
    <x v="3"/>
    <x v="3"/>
    <x v="1"/>
    <x v="1"/>
  </r>
  <r>
    <x v="182"/>
    <x v="0"/>
    <x v="0"/>
    <x v="169"/>
    <n v="13.3"/>
    <x v="7"/>
    <d v="2025-01-12T00:00:00"/>
    <x v="2"/>
    <x v="2"/>
    <x v="1"/>
    <x v="0"/>
    <x v="3"/>
    <x v="5"/>
    <x v="1"/>
    <x v="2"/>
  </r>
  <r>
    <x v="183"/>
    <x v="0"/>
    <x v="2"/>
    <x v="137"/>
    <n v="47.099999999999994"/>
    <x v="7"/>
    <d v="2025-01-09T00:00:00"/>
    <x v="2"/>
    <x v="1"/>
    <x v="0"/>
    <x v="0"/>
    <x v="29"/>
    <x v="3"/>
    <x v="1"/>
    <x v="2"/>
  </r>
  <r>
    <x v="184"/>
    <x v="8"/>
    <x v="1"/>
    <x v="170"/>
    <n v="51.2"/>
    <x v="7"/>
    <d v="2025-01-09T00:00:00"/>
    <x v="1"/>
    <x v="0"/>
    <x v="2"/>
    <x v="0"/>
    <x v="23"/>
    <x v="3"/>
    <x v="1"/>
    <x v="1"/>
  </r>
  <r>
    <x v="185"/>
    <x v="8"/>
    <x v="0"/>
    <x v="171"/>
    <n v="43.4"/>
    <x v="7"/>
    <d v="2025-01-13T00:00:00"/>
    <x v="1"/>
    <x v="0"/>
    <x v="0"/>
    <x v="0"/>
    <x v="6"/>
    <x v="0"/>
    <x v="1"/>
    <x v="1"/>
  </r>
  <r>
    <x v="186"/>
    <x v="11"/>
    <x v="11"/>
    <x v="172"/>
    <n v="300.59999999999997"/>
    <x v="7"/>
    <d v="2025-01-08T00:00:00"/>
    <x v="2"/>
    <x v="0"/>
    <x v="0"/>
    <x v="0"/>
    <x v="8"/>
    <x v="7"/>
    <x v="1"/>
    <x v="2"/>
  </r>
  <r>
    <x v="187"/>
    <x v="8"/>
    <x v="10"/>
    <x v="173"/>
    <n v="1045"/>
    <x v="7"/>
    <d v="2025-01-09T00:00:00"/>
    <x v="2"/>
    <x v="1"/>
    <x v="2"/>
    <x v="0"/>
    <x v="8"/>
    <x v="3"/>
    <x v="1"/>
    <x v="2"/>
  </r>
  <r>
    <x v="188"/>
    <x v="8"/>
    <x v="2"/>
    <x v="174"/>
    <n v="70.800000000000011"/>
    <x v="7"/>
    <d v="2025-01-09T00:00:00"/>
    <x v="1"/>
    <x v="0"/>
    <x v="2"/>
    <x v="0"/>
    <x v="8"/>
    <x v="3"/>
    <x v="1"/>
    <x v="1"/>
  </r>
  <r>
    <x v="189"/>
    <x v="12"/>
    <x v="11"/>
    <x v="175"/>
    <n v="936"/>
    <x v="7"/>
    <d v="2025-01-10T00:00:00"/>
    <x v="2"/>
    <x v="2"/>
    <x v="2"/>
    <x v="0"/>
    <x v="17"/>
    <x v="1"/>
    <x v="1"/>
    <x v="2"/>
  </r>
  <r>
    <x v="190"/>
    <x v="6"/>
    <x v="1"/>
    <x v="147"/>
    <n v="103.6"/>
    <x v="7"/>
    <d v="2025-01-12T00:00:00"/>
    <x v="0"/>
    <x v="0"/>
    <x v="2"/>
    <x v="0"/>
    <x v="10"/>
    <x v="5"/>
    <x v="1"/>
    <x v="0"/>
  </r>
  <r>
    <x v="191"/>
    <x v="10"/>
    <x v="9"/>
    <x v="176"/>
    <n v="172.5"/>
    <x v="7"/>
    <d v="2025-01-10T00:00:00"/>
    <x v="0"/>
    <x v="2"/>
    <x v="2"/>
    <x v="0"/>
    <x v="11"/>
    <x v="1"/>
    <x v="1"/>
    <x v="0"/>
  </r>
  <r>
    <x v="192"/>
    <x v="6"/>
    <x v="1"/>
    <x v="147"/>
    <n v="103.6"/>
    <x v="7"/>
    <d v="2025-01-10T00:00:00"/>
    <x v="1"/>
    <x v="1"/>
    <x v="2"/>
    <x v="0"/>
    <x v="30"/>
    <x v="1"/>
    <x v="1"/>
    <x v="1"/>
  </r>
  <r>
    <x v="193"/>
    <x v="18"/>
    <x v="23"/>
    <x v="177"/>
    <n v="5654.5"/>
    <x v="7"/>
    <d v="2025-01-09T00:00:00"/>
    <x v="2"/>
    <x v="0"/>
    <x v="2"/>
    <x v="0"/>
    <x v="18"/>
    <x v="3"/>
    <x v="1"/>
    <x v="2"/>
  </r>
  <r>
    <x v="194"/>
    <x v="8"/>
    <x v="3"/>
    <x v="134"/>
    <n v="334.59999999999997"/>
    <x v="7"/>
    <d v="2025-01-08T00:00:00"/>
    <x v="2"/>
    <x v="0"/>
    <x v="0"/>
    <x v="0"/>
    <x v="19"/>
    <x v="7"/>
    <x v="1"/>
    <x v="2"/>
  </r>
  <r>
    <x v="195"/>
    <x v="0"/>
    <x v="1"/>
    <x v="178"/>
    <n v="20.399999999999999"/>
    <x v="7"/>
    <d v="2025-01-10T00:00:00"/>
    <x v="2"/>
    <x v="0"/>
    <x v="0"/>
    <x v="0"/>
    <x v="19"/>
    <x v="1"/>
    <x v="1"/>
    <x v="2"/>
  </r>
  <r>
    <x v="196"/>
    <x v="8"/>
    <x v="8"/>
    <x v="29"/>
    <n v="328"/>
    <x v="7"/>
    <d v="2025-01-08T00:00:00"/>
    <x v="2"/>
    <x v="1"/>
    <x v="2"/>
    <x v="0"/>
    <x v="19"/>
    <x v="7"/>
    <x v="1"/>
    <x v="2"/>
  </r>
  <r>
    <x v="197"/>
    <x v="10"/>
    <x v="3"/>
    <x v="179"/>
    <n v="355.59999999999997"/>
    <x v="7"/>
    <d v="2025-01-11T00:00:00"/>
    <x v="2"/>
    <x v="1"/>
    <x v="0"/>
    <x v="0"/>
    <x v="21"/>
    <x v="2"/>
    <x v="1"/>
    <x v="2"/>
  </r>
  <r>
    <x v="198"/>
    <x v="18"/>
    <x v="2"/>
    <x v="180"/>
    <n v="118.80000000000001"/>
    <x v="7"/>
    <d v="2025-01-09T00:00:00"/>
    <x v="1"/>
    <x v="2"/>
    <x v="2"/>
    <x v="0"/>
    <x v="1"/>
    <x v="3"/>
    <x v="1"/>
    <x v="1"/>
  </r>
  <r>
    <x v="199"/>
    <x v="5"/>
    <x v="1"/>
    <x v="181"/>
    <n v="139"/>
    <x v="7"/>
    <d v="2025-01-10T00:00:00"/>
    <x v="1"/>
    <x v="0"/>
    <x v="2"/>
    <x v="0"/>
    <x v="2"/>
    <x v="1"/>
    <x v="1"/>
    <x v="1"/>
  </r>
  <r>
    <x v="200"/>
    <x v="8"/>
    <x v="8"/>
    <x v="101"/>
    <n v="260.8"/>
    <x v="7"/>
    <d v="2025-01-11T00:00:00"/>
    <x v="1"/>
    <x v="1"/>
    <x v="0"/>
    <x v="0"/>
    <x v="3"/>
    <x v="2"/>
    <x v="1"/>
    <x v="1"/>
  </r>
  <r>
    <x v="201"/>
    <x v="7"/>
    <x v="1"/>
    <x v="182"/>
    <n v="98.2"/>
    <x v="7"/>
    <d v="2025-01-16T00:00:00"/>
    <x v="1"/>
    <x v="3"/>
    <x v="2"/>
    <x v="0"/>
    <x v="3"/>
    <x v="9"/>
    <x v="1"/>
    <x v="1"/>
  </r>
  <r>
    <x v="202"/>
    <x v="6"/>
    <x v="1"/>
    <x v="183"/>
    <n v="98.8"/>
    <x v="8"/>
    <d v="2025-01-10T00:00:00"/>
    <x v="2"/>
    <x v="2"/>
    <x v="0"/>
    <x v="0"/>
    <x v="3"/>
    <x v="3"/>
    <x v="1"/>
    <x v="2"/>
  </r>
  <r>
    <x v="203"/>
    <x v="7"/>
    <x v="3"/>
    <x v="146"/>
    <n v="455.69999999999993"/>
    <x v="8"/>
    <d v="2025-01-12T00:00:00"/>
    <x v="2"/>
    <x v="2"/>
    <x v="2"/>
    <x v="0"/>
    <x v="3"/>
    <x v="2"/>
    <x v="1"/>
    <x v="2"/>
  </r>
  <r>
    <x v="204"/>
    <x v="3"/>
    <x v="1"/>
    <x v="184"/>
    <n v="104.2"/>
    <x v="8"/>
    <d v="2025-01-13T00:00:00"/>
    <x v="2"/>
    <x v="2"/>
    <x v="0"/>
    <x v="0"/>
    <x v="3"/>
    <x v="5"/>
    <x v="1"/>
    <x v="2"/>
  </r>
  <r>
    <x v="205"/>
    <x v="2"/>
    <x v="12"/>
    <x v="185"/>
    <n v="516.79999999999995"/>
    <x v="8"/>
    <d v="2025-01-10T00:00:00"/>
    <x v="2"/>
    <x v="1"/>
    <x v="0"/>
    <x v="0"/>
    <x v="3"/>
    <x v="3"/>
    <x v="1"/>
    <x v="2"/>
  </r>
  <r>
    <x v="206"/>
    <x v="1"/>
    <x v="10"/>
    <x v="186"/>
    <n v="1554.2"/>
    <x v="8"/>
    <d v="2025-01-09T00:00:00"/>
    <x v="2"/>
    <x v="1"/>
    <x v="1"/>
    <x v="0"/>
    <x v="3"/>
    <x v="7"/>
    <x v="1"/>
    <x v="2"/>
  </r>
  <r>
    <x v="207"/>
    <x v="17"/>
    <x v="0"/>
    <x v="187"/>
    <n v="24.9"/>
    <x v="8"/>
    <d v="2025-01-13T00:00:00"/>
    <x v="2"/>
    <x v="1"/>
    <x v="0"/>
    <x v="0"/>
    <x v="3"/>
    <x v="5"/>
    <x v="1"/>
    <x v="2"/>
  </r>
  <r>
    <x v="208"/>
    <x v="0"/>
    <x v="2"/>
    <x v="183"/>
    <n v="148.19999999999999"/>
    <x v="8"/>
    <d v="2025-01-12T00:00:00"/>
    <x v="2"/>
    <x v="4"/>
    <x v="4"/>
    <x v="0"/>
    <x v="3"/>
    <x v="2"/>
    <x v="1"/>
    <x v="2"/>
  </r>
  <r>
    <x v="209"/>
    <x v="8"/>
    <x v="1"/>
    <x v="188"/>
    <n v="45.4"/>
    <x v="8"/>
    <d v="2025-01-10T00:00:00"/>
    <x v="1"/>
    <x v="3"/>
    <x v="2"/>
    <x v="0"/>
    <x v="3"/>
    <x v="3"/>
    <x v="1"/>
    <x v="1"/>
  </r>
  <r>
    <x v="210"/>
    <x v="1"/>
    <x v="0"/>
    <x v="81"/>
    <n v="77.3"/>
    <x v="8"/>
    <d v="2025-01-09T00:00:00"/>
    <x v="2"/>
    <x v="0"/>
    <x v="2"/>
    <x v="0"/>
    <x v="6"/>
    <x v="7"/>
    <x v="1"/>
    <x v="2"/>
  </r>
  <r>
    <x v="211"/>
    <x v="1"/>
    <x v="9"/>
    <x v="189"/>
    <n v="545.5"/>
    <x v="8"/>
    <d v="2025-01-12T00:00:00"/>
    <x v="2"/>
    <x v="0"/>
    <x v="0"/>
    <x v="0"/>
    <x v="6"/>
    <x v="2"/>
    <x v="1"/>
    <x v="2"/>
  </r>
  <r>
    <x v="212"/>
    <x v="2"/>
    <x v="12"/>
    <x v="190"/>
    <n v="215.6"/>
    <x v="8"/>
    <d v="2025-01-10T00:00:00"/>
    <x v="1"/>
    <x v="0"/>
    <x v="1"/>
    <x v="0"/>
    <x v="8"/>
    <x v="3"/>
    <x v="1"/>
    <x v="1"/>
  </r>
  <r>
    <x v="213"/>
    <x v="9"/>
    <x v="18"/>
    <x v="191"/>
    <n v="551.19999999999993"/>
    <x v="8"/>
    <d v="2025-01-09T00:00:00"/>
    <x v="2"/>
    <x v="0"/>
    <x v="0"/>
    <x v="0"/>
    <x v="9"/>
    <x v="7"/>
    <x v="1"/>
    <x v="2"/>
  </r>
  <r>
    <x v="214"/>
    <x v="16"/>
    <x v="12"/>
    <x v="192"/>
    <n v="276"/>
    <x v="8"/>
    <d v="2025-01-11T00:00:00"/>
    <x v="2"/>
    <x v="1"/>
    <x v="1"/>
    <x v="0"/>
    <x v="18"/>
    <x v="1"/>
    <x v="1"/>
    <x v="2"/>
  </r>
  <r>
    <x v="215"/>
    <x v="6"/>
    <x v="2"/>
    <x v="193"/>
    <n v="138.60000000000002"/>
    <x v="8"/>
    <d v="2025-01-11T00:00:00"/>
    <x v="2"/>
    <x v="0"/>
    <x v="2"/>
    <x v="0"/>
    <x v="31"/>
    <x v="1"/>
    <x v="1"/>
    <x v="2"/>
  </r>
  <r>
    <x v="216"/>
    <x v="1"/>
    <x v="9"/>
    <x v="194"/>
    <n v="487"/>
    <x v="8"/>
    <d v="2025-01-13T00:00:00"/>
    <x v="2"/>
    <x v="4"/>
    <x v="2"/>
    <x v="0"/>
    <x v="21"/>
    <x v="5"/>
    <x v="1"/>
    <x v="2"/>
  </r>
  <r>
    <x v="217"/>
    <x v="8"/>
    <x v="9"/>
    <x v="65"/>
    <n v="105"/>
    <x v="8"/>
    <d v="2025-01-10T00:00:00"/>
    <x v="1"/>
    <x v="0"/>
    <x v="1"/>
    <x v="0"/>
    <x v="21"/>
    <x v="3"/>
    <x v="1"/>
    <x v="1"/>
  </r>
  <r>
    <x v="218"/>
    <x v="5"/>
    <x v="1"/>
    <x v="195"/>
    <n v="65.400000000000006"/>
    <x v="9"/>
    <d v="2025-01-13T00:00:00"/>
    <x v="2"/>
    <x v="1"/>
    <x v="0"/>
    <x v="0"/>
    <x v="2"/>
    <x v="2"/>
    <x v="1"/>
    <x v="2"/>
  </r>
  <r>
    <x v="219"/>
    <x v="6"/>
    <x v="12"/>
    <x v="196"/>
    <n v="192"/>
    <x v="9"/>
    <d v="2025-01-11T00:00:00"/>
    <x v="1"/>
    <x v="3"/>
    <x v="0"/>
    <x v="0"/>
    <x v="3"/>
    <x v="3"/>
    <x v="1"/>
    <x v="1"/>
  </r>
  <r>
    <x v="220"/>
    <x v="6"/>
    <x v="2"/>
    <x v="197"/>
    <n v="204.60000000000002"/>
    <x v="9"/>
    <d v="2025-01-14T00:00:00"/>
    <x v="0"/>
    <x v="0"/>
    <x v="2"/>
    <x v="0"/>
    <x v="3"/>
    <x v="5"/>
    <x v="1"/>
    <x v="0"/>
  </r>
  <r>
    <x v="221"/>
    <x v="5"/>
    <x v="0"/>
    <x v="102"/>
    <n v="45.4"/>
    <x v="9"/>
    <d v="2025-01-12T00:00:00"/>
    <x v="1"/>
    <x v="1"/>
    <x v="0"/>
    <x v="0"/>
    <x v="3"/>
    <x v="1"/>
    <x v="1"/>
    <x v="1"/>
  </r>
  <r>
    <x v="222"/>
    <x v="12"/>
    <x v="1"/>
    <x v="190"/>
    <n v="107.8"/>
    <x v="9"/>
    <d v="2025-01-11T00:00:00"/>
    <x v="2"/>
    <x v="2"/>
    <x v="0"/>
    <x v="0"/>
    <x v="3"/>
    <x v="3"/>
    <x v="1"/>
    <x v="2"/>
  </r>
  <r>
    <x v="223"/>
    <x v="2"/>
    <x v="12"/>
    <x v="198"/>
    <n v="248.4"/>
    <x v="9"/>
    <d v="2025-01-14T00:00:00"/>
    <x v="2"/>
    <x v="0"/>
    <x v="0"/>
    <x v="0"/>
    <x v="4"/>
    <x v="5"/>
    <x v="1"/>
    <x v="2"/>
  </r>
  <r>
    <x v="224"/>
    <x v="13"/>
    <x v="3"/>
    <x v="199"/>
    <n v="231.70000000000002"/>
    <x v="9"/>
    <d v="2025-01-15T00:00:00"/>
    <x v="1"/>
    <x v="1"/>
    <x v="0"/>
    <x v="0"/>
    <x v="6"/>
    <x v="0"/>
    <x v="1"/>
    <x v="1"/>
  </r>
  <r>
    <x v="225"/>
    <x v="18"/>
    <x v="9"/>
    <x v="200"/>
    <n v="176"/>
    <x v="9"/>
    <d v="2025-01-10T00:00:00"/>
    <x v="2"/>
    <x v="1"/>
    <x v="0"/>
    <x v="0"/>
    <x v="6"/>
    <x v="7"/>
    <x v="1"/>
    <x v="2"/>
  </r>
  <r>
    <x v="226"/>
    <x v="9"/>
    <x v="2"/>
    <x v="201"/>
    <n v="96.300000000000011"/>
    <x v="9"/>
    <d v="2025-01-15T00:00:00"/>
    <x v="1"/>
    <x v="3"/>
    <x v="0"/>
    <x v="0"/>
    <x v="8"/>
    <x v="0"/>
    <x v="1"/>
    <x v="1"/>
  </r>
  <r>
    <x v="227"/>
    <x v="11"/>
    <x v="0"/>
    <x v="202"/>
    <n v="38.1"/>
    <x v="9"/>
    <d v="2025-01-15T00:00:00"/>
    <x v="2"/>
    <x v="0"/>
    <x v="2"/>
    <x v="0"/>
    <x v="8"/>
    <x v="0"/>
    <x v="1"/>
    <x v="2"/>
  </r>
  <r>
    <x v="228"/>
    <x v="8"/>
    <x v="0"/>
    <x v="203"/>
    <n v="65.2"/>
    <x v="9"/>
    <d v="2025-01-15T00:00:00"/>
    <x v="2"/>
    <x v="3"/>
    <x v="1"/>
    <x v="0"/>
    <x v="8"/>
    <x v="0"/>
    <x v="1"/>
    <x v="2"/>
  </r>
  <r>
    <x v="229"/>
    <x v="10"/>
    <x v="3"/>
    <x v="204"/>
    <n v="386.40000000000003"/>
    <x v="9"/>
    <d v="2025-01-11T00:00:00"/>
    <x v="1"/>
    <x v="2"/>
    <x v="0"/>
    <x v="0"/>
    <x v="11"/>
    <x v="3"/>
    <x v="1"/>
    <x v="1"/>
  </r>
  <r>
    <x v="230"/>
    <x v="6"/>
    <x v="0"/>
    <x v="205"/>
    <n v="62"/>
    <x v="9"/>
    <d v="2025-01-14T00:00:00"/>
    <x v="2"/>
    <x v="0"/>
    <x v="0"/>
    <x v="0"/>
    <x v="11"/>
    <x v="5"/>
    <x v="1"/>
    <x v="2"/>
  </r>
  <r>
    <x v="231"/>
    <x v="7"/>
    <x v="2"/>
    <x v="206"/>
    <n v="137.69999999999999"/>
    <x v="9"/>
    <d v="2025-01-11T00:00:00"/>
    <x v="2"/>
    <x v="2"/>
    <x v="0"/>
    <x v="0"/>
    <x v="32"/>
    <x v="3"/>
    <x v="1"/>
    <x v="2"/>
  </r>
  <r>
    <x v="232"/>
    <x v="18"/>
    <x v="2"/>
    <x v="207"/>
    <n v="174.89999999999998"/>
    <x v="9"/>
    <d v="2025-01-10T00:00:00"/>
    <x v="1"/>
    <x v="1"/>
    <x v="1"/>
    <x v="0"/>
    <x v="18"/>
    <x v="7"/>
    <x v="1"/>
    <x v="1"/>
  </r>
  <r>
    <x v="233"/>
    <x v="8"/>
    <x v="1"/>
    <x v="208"/>
    <n v="44.6"/>
    <x v="9"/>
    <d v="2025-01-13T00:00:00"/>
    <x v="2"/>
    <x v="0"/>
    <x v="2"/>
    <x v="0"/>
    <x v="20"/>
    <x v="2"/>
    <x v="1"/>
    <x v="2"/>
  </r>
  <r>
    <x v="234"/>
    <x v="19"/>
    <x v="9"/>
    <x v="209"/>
    <n v="120"/>
    <x v="9"/>
    <d v="2025-01-11T00:00:00"/>
    <x v="1"/>
    <x v="4"/>
    <x v="0"/>
    <x v="0"/>
    <x v="1"/>
    <x v="3"/>
    <x v="1"/>
    <x v="1"/>
  </r>
  <r>
    <x v="235"/>
    <x v="0"/>
    <x v="7"/>
    <x v="210"/>
    <n v="213"/>
    <x v="9"/>
    <d v="2025-01-10T00:00:00"/>
    <x v="2"/>
    <x v="1"/>
    <x v="2"/>
    <x v="0"/>
    <x v="22"/>
    <x v="7"/>
    <x v="1"/>
    <x v="2"/>
  </r>
  <r>
    <x v="236"/>
    <x v="6"/>
    <x v="24"/>
    <x v="211"/>
    <n v="2369.7999999999997"/>
    <x v="9"/>
    <d v="2025-01-12T00:00:00"/>
    <x v="2"/>
    <x v="0"/>
    <x v="2"/>
    <x v="0"/>
    <x v="3"/>
    <x v="1"/>
    <x v="1"/>
    <x v="2"/>
  </r>
  <r>
    <x v="237"/>
    <x v="10"/>
    <x v="2"/>
    <x v="212"/>
    <n v="202.79999999999998"/>
    <x v="9"/>
    <d v="2025-01-11T00:00:00"/>
    <x v="2"/>
    <x v="0"/>
    <x v="0"/>
    <x v="0"/>
    <x v="3"/>
    <x v="3"/>
    <x v="1"/>
    <x v="2"/>
  </r>
  <r>
    <x v="238"/>
    <x v="6"/>
    <x v="13"/>
    <x v="14"/>
    <n v="400.20000000000005"/>
    <x v="9"/>
    <d v="2025-01-14T00:00:00"/>
    <x v="1"/>
    <x v="4"/>
    <x v="1"/>
    <x v="0"/>
    <x v="3"/>
    <x v="5"/>
    <x v="1"/>
    <x v="1"/>
  </r>
  <r>
    <x v="239"/>
    <x v="1"/>
    <x v="12"/>
    <x v="213"/>
    <n v="212.4"/>
    <x v="9"/>
    <d v="2025-01-12T00:00:00"/>
    <x v="2"/>
    <x v="1"/>
    <x v="0"/>
    <x v="0"/>
    <x v="3"/>
    <x v="1"/>
    <x v="1"/>
    <x v="2"/>
  </r>
  <r>
    <x v="240"/>
    <x v="12"/>
    <x v="2"/>
    <x v="214"/>
    <n v="172.2"/>
    <x v="9"/>
    <d v="2025-01-13T00:00:00"/>
    <x v="2"/>
    <x v="0"/>
    <x v="2"/>
    <x v="0"/>
    <x v="29"/>
    <x v="2"/>
    <x v="1"/>
    <x v="2"/>
  </r>
  <r>
    <x v="241"/>
    <x v="2"/>
    <x v="9"/>
    <x v="215"/>
    <n v="290.5"/>
    <x v="9"/>
    <d v="2025-01-10T00:00:00"/>
    <x v="1"/>
    <x v="2"/>
    <x v="2"/>
    <x v="0"/>
    <x v="6"/>
    <x v="7"/>
    <x v="1"/>
    <x v="1"/>
  </r>
  <r>
    <x v="242"/>
    <x v="5"/>
    <x v="2"/>
    <x v="216"/>
    <n v="95.4"/>
    <x v="10"/>
    <d v="2025-01-13T00:00:00"/>
    <x v="1"/>
    <x v="3"/>
    <x v="0"/>
    <x v="0"/>
    <x v="6"/>
    <x v="1"/>
    <x v="1"/>
    <x v="1"/>
  </r>
  <r>
    <x v="243"/>
    <x v="4"/>
    <x v="2"/>
    <x v="217"/>
    <n v="94.5"/>
    <x v="10"/>
    <d v="2025-01-14T00:00:00"/>
    <x v="1"/>
    <x v="0"/>
    <x v="1"/>
    <x v="0"/>
    <x v="8"/>
    <x v="2"/>
    <x v="1"/>
    <x v="1"/>
  </r>
  <r>
    <x v="244"/>
    <x v="6"/>
    <x v="3"/>
    <x v="218"/>
    <n v="391.3"/>
    <x v="10"/>
    <d v="2025-01-15T00:00:00"/>
    <x v="2"/>
    <x v="1"/>
    <x v="2"/>
    <x v="0"/>
    <x v="8"/>
    <x v="5"/>
    <x v="1"/>
    <x v="2"/>
  </r>
  <r>
    <x v="245"/>
    <x v="8"/>
    <x v="1"/>
    <x v="128"/>
    <n v="72.8"/>
    <x v="10"/>
    <d v="2025-01-12T00:00:00"/>
    <x v="1"/>
    <x v="1"/>
    <x v="1"/>
    <x v="0"/>
    <x v="9"/>
    <x v="3"/>
    <x v="1"/>
    <x v="1"/>
  </r>
  <r>
    <x v="246"/>
    <x v="1"/>
    <x v="9"/>
    <x v="219"/>
    <n v="236.5"/>
    <x v="10"/>
    <d v="2025-01-14T00:00:00"/>
    <x v="1"/>
    <x v="2"/>
    <x v="0"/>
    <x v="0"/>
    <x v="10"/>
    <x v="2"/>
    <x v="1"/>
    <x v="1"/>
  </r>
  <r>
    <x v="247"/>
    <x v="6"/>
    <x v="2"/>
    <x v="220"/>
    <n v="247.5"/>
    <x v="10"/>
    <d v="2025-01-12T00:00:00"/>
    <x v="1"/>
    <x v="0"/>
    <x v="0"/>
    <x v="0"/>
    <x v="11"/>
    <x v="3"/>
    <x v="1"/>
    <x v="1"/>
  </r>
  <r>
    <x v="248"/>
    <x v="0"/>
    <x v="0"/>
    <x v="221"/>
    <n v="14.3"/>
    <x v="10"/>
    <d v="2025-01-12T00:00:00"/>
    <x v="2"/>
    <x v="0"/>
    <x v="0"/>
    <x v="0"/>
    <x v="21"/>
    <x v="3"/>
    <x v="1"/>
    <x v="2"/>
  </r>
  <r>
    <x v="249"/>
    <x v="2"/>
    <x v="13"/>
    <x v="222"/>
    <n v="345.6"/>
    <x v="10"/>
    <d v="2025-01-25T00:00:00"/>
    <x v="2"/>
    <x v="0"/>
    <x v="0"/>
    <x v="0"/>
    <x v="21"/>
    <x v="12"/>
    <x v="1"/>
    <x v="2"/>
  </r>
  <r>
    <x v="250"/>
    <x v="2"/>
    <x v="2"/>
    <x v="223"/>
    <n v="427.20000000000005"/>
    <x v="10"/>
    <d v="2025-01-13T00:00:00"/>
    <x v="1"/>
    <x v="4"/>
    <x v="1"/>
    <x v="0"/>
    <x v="21"/>
    <x v="1"/>
    <x v="1"/>
    <x v="1"/>
  </r>
  <r>
    <x v="251"/>
    <x v="12"/>
    <x v="0"/>
    <x v="224"/>
    <n v="30.2"/>
    <x v="10"/>
    <d v="2025-01-15T00:00:00"/>
    <x v="1"/>
    <x v="1"/>
    <x v="2"/>
    <x v="0"/>
    <x v="2"/>
    <x v="5"/>
    <x v="1"/>
    <x v="1"/>
  </r>
  <r>
    <x v="252"/>
    <x v="18"/>
    <x v="2"/>
    <x v="225"/>
    <n v="195.89999999999998"/>
    <x v="10"/>
    <d v="2025-01-12T00:00:00"/>
    <x v="3"/>
    <x v="1"/>
    <x v="0"/>
    <x v="0"/>
    <x v="33"/>
    <x v="3"/>
    <x v="1"/>
    <x v="3"/>
  </r>
  <r>
    <x v="253"/>
    <x v="0"/>
    <x v="1"/>
    <x v="172"/>
    <n v="66.8"/>
    <x v="10"/>
    <d v="2025-01-12T00:00:00"/>
    <x v="1"/>
    <x v="1"/>
    <x v="1"/>
    <x v="0"/>
    <x v="22"/>
    <x v="3"/>
    <x v="1"/>
    <x v="1"/>
  </r>
  <r>
    <x v="254"/>
    <x v="7"/>
    <x v="1"/>
    <x v="226"/>
    <n v="90.2"/>
    <x v="10"/>
    <d v="2025-01-19T00:00:00"/>
    <x v="1"/>
    <x v="0"/>
    <x v="0"/>
    <x v="0"/>
    <x v="34"/>
    <x v="9"/>
    <x v="1"/>
    <x v="1"/>
  </r>
  <r>
    <x v="255"/>
    <x v="2"/>
    <x v="3"/>
    <x v="227"/>
    <n v="431.90000000000003"/>
    <x v="10"/>
    <d v="2025-01-13T00:00:00"/>
    <x v="2"/>
    <x v="4"/>
    <x v="0"/>
    <x v="0"/>
    <x v="3"/>
    <x v="1"/>
    <x v="1"/>
    <x v="2"/>
  </r>
  <r>
    <x v="256"/>
    <x v="9"/>
    <x v="2"/>
    <x v="226"/>
    <n v="135.30000000000001"/>
    <x v="11"/>
    <d v="2025-01-13T00:00:00"/>
    <x v="1"/>
    <x v="4"/>
    <x v="1"/>
    <x v="0"/>
    <x v="3"/>
    <x v="3"/>
    <x v="2"/>
    <x v="1"/>
  </r>
  <r>
    <x v="257"/>
    <x v="15"/>
    <x v="9"/>
    <x v="188"/>
    <n v="113.5"/>
    <x v="11"/>
    <d v="2025-01-17T00:00:00"/>
    <x v="1"/>
    <x v="0"/>
    <x v="2"/>
    <x v="0"/>
    <x v="35"/>
    <x v="0"/>
    <x v="2"/>
    <x v="1"/>
  </r>
  <r>
    <x v="258"/>
    <x v="8"/>
    <x v="0"/>
    <x v="228"/>
    <n v="17.600000000000001"/>
    <x v="11"/>
    <d v="2025-01-13T00:00:00"/>
    <x v="2"/>
    <x v="0"/>
    <x v="2"/>
    <x v="0"/>
    <x v="23"/>
    <x v="3"/>
    <x v="2"/>
    <x v="2"/>
  </r>
  <r>
    <x v="259"/>
    <x v="14"/>
    <x v="1"/>
    <x v="229"/>
    <n v="22.6"/>
    <x v="11"/>
    <d v="2025-01-15T00:00:00"/>
    <x v="2"/>
    <x v="3"/>
    <x v="2"/>
    <x v="0"/>
    <x v="23"/>
    <x v="2"/>
    <x v="2"/>
    <x v="2"/>
  </r>
  <r>
    <x v="260"/>
    <x v="6"/>
    <x v="2"/>
    <x v="230"/>
    <n v="160.19999999999999"/>
    <x v="11"/>
    <d v="2025-01-15T00:00:00"/>
    <x v="1"/>
    <x v="3"/>
    <x v="2"/>
    <x v="0"/>
    <x v="36"/>
    <x v="2"/>
    <x v="2"/>
    <x v="1"/>
  </r>
  <r>
    <x v="261"/>
    <x v="6"/>
    <x v="5"/>
    <x v="18"/>
    <n v="562.1"/>
    <x v="11"/>
    <d v="2025-01-14T00:00:00"/>
    <x v="2"/>
    <x v="2"/>
    <x v="2"/>
    <x v="0"/>
    <x v="8"/>
    <x v="1"/>
    <x v="2"/>
    <x v="2"/>
  </r>
  <r>
    <x v="262"/>
    <x v="8"/>
    <x v="1"/>
    <x v="231"/>
    <n v="55"/>
    <x v="11"/>
    <d v="2025-01-13T00:00:00"/>
    <x v="1"/>
    <x v="4"/>
    <x v="1"/>
    <x v="0"/>
    <x v="8"/>
    <x v="3"/>
    <x v="2"/>
    <x v="1"/>
  </r>
  <r>
    <x v="263"/>
    <x v="9"/>
    <x v="0"/>
    <x v="232"/>
    <n v="33.5"/>
    <x v="11"/>
    <d v="2025-01-14T00:00:00"/>
    <x v="2"/>
    <x v="0"/>
    <x v="4"/>
    <x v="0"/>
    <x v="8"/>
    <x v="1"/>
    <x v="2"/>
    <x v="2"/>
  </r>
  <r>
    <x v="264"/>
    <x v="4"/>
    <x v="0"/>
    <x v="233"/>
    <n v="59.5"/>
    <x v="11"/>
    <d v="2025-01-12T00:00:00"/>
    <x v="1"/>
    <x v="0"/>
    <x v="2"/>
    <x v="0"/>
    <x v="18"/>
    <x v="7"/>
    <x v="2"/>
    <x v="1"/>
  </r>
  <r>
    <x v="265"/>
    <x v="17"/>
    <x v="12"/>
    <x v="234"/>
    <n v="94"/>
    <x v="11"/>
    <d v="2025-01-13T00:00:00"/>
    <x v="2"/>
    <x v="3"/>
    <x v="3"/>
    <x v="0"/>
    <x v="19"/>
    <x v="3"/>
    <x v="2"/>
    <x v="2"/>
  </r>
  <r>
    <x v="266"/>
    <x v="6"/>
    <x v="0"/>
    <x v="235"/>
    <n v="49.7"/>
    <x v="11"/>
    <d v="2025-01-13T00:00:00"/>
    <x v="0"/>
    <x v="1"/>
    <x v="2"/>
    <x v="0"/>
    <x v="20"/>
    <x v="3"/>
    <x v="2"/>
    <x v="0"/>
  </r>
  <r>
    <x v="267"/>
    <x v="6"/>
    <x v="12"/>
    <x v="236"/>
    <n v="176.8"/>
    <x v="11"/>
    <d v="2025-01-15T00:00:00"/>
    <x v="2"/>
    <x v="0"/>
    <x v="2"/>
    <x v="0"/>
    <x v="21"/>
    <x v="2"/>
    <x v="2"/>
    <x v="2"/>
  </r>
  <r>
    <x v="268"/>
    <x v="8"/>
    <x v="0"/>
    <x v="237"/>
    <n v="22.1"/>
    <x v="11"/>
    <d v="2025-01-16T00:00:00"/>
    <x v="2"/>
    <x v="1"/>
    <x v="1"/>
    <x v="0"/>
    <x v="33"/>
    <x v="5"/>
    <x v="2"/>
    <x v="2"/>
  </r>
  <r>
    <x v="269"/>
    <x v="6"/>
    <x v="2"/>
    <x v="238"/>
    <n v="272.70000000000005"/>
    <x v="11"/>
    <d v="2025-01-13T00:00:00"/>
    <x v="2"/>
    <x v="2"/>
    <x v="4"/>
    <x v="0"/>
    <x v="3"/>
    <x v="3"/>
    <x v="2"/>
    <x v="2"/>
  </r>
  <r>
    <x v="270"/>
    <x v="8"/>
    <x v="2"/>
    <x v="239"/>
    <n v="133.5"/>
    <x v="11"/>
    <d v="2025-01-13T00:00:00"/>
    <x v="2"/>
    <x v="1"/>
    <x v="0"/>
    <x v="0"/>
    <x v="3"/>
    <x v="3"/>
    <x v="2"/>
    <x v="2"/>
  </r>
  <r>
    <x v="271"/>
    <x v="9"/>
    <x v="13"/>
    <x v="240"/>
    <n v="193.79999999999998"/>
    <x v="11"/>
    <d v="2025-01-16T00:00:00"/>
    <x v="2"/>
    <x v="0"/>
    <x v="0"/>
    <x v="0"/>
    <x v="3"/>
    <x v="5"/>
    <x v="2"/>
    <x v="2"/>
  </r>
  <r>
    <x v="272"/>
    <x v="17"/>
    <x v="2"/>
    <x v="241"/>
    <n v="262.5"/>
    <x v="11"/>
    <d v="2025-01-13T00:00:00"/>
    <x v="2"/>
    <x v="1"/>
    <x v="1"/>
    <x v="0"/>
    <x v="3"/>
    <x v="3"/>
    <x v="2"/>
    <x v="2"/>
  </r>
  <r>
    <x v="273"/>
    <x v="16"/>
    <x v="9"/>
    <x v="242"/>
    <n v="243.5"/>
    <x v="11"/>
    <d v="2025-01-13T00:00:00"/>
    <x v="1"/>
    <x v="2"/>
    <x v="0"/>
    <x v="0"/>
    <x v="3"/>
    <x v="3"/>
    <x v="2"/>
    <x v="1"/>
  </r>
  <r>
    <x v="274"/>
    <x v="0"/>
    <x v="9"/>
    <x v="243"/>
    <n v="112.5"/>
    <x v="11"/>
    <d v="2025-01-13T00:00:00"/>
    <x v="1"/>
    <x v="0"/>
    <x v="0"/>
    <x v="0"/>
    <x v="3"/>
    <x v="3"/>
    <x v="2"/>
    <x v="1"/>
  </r>
  <r>
    <x v="275"/>
    <x v="1"/>
    <x v="8"/>
    <x v="244"/>
    <n v="527.20000000000005"/>
    <x v="11"/>
    <d v="2025-01-15T00:00:00"/>
    <x v="2"/>
    <x v="1"/>
    <x v="2"/>
    <x v="0"/>
    <x v="3"/>
    <x v="2"/>
    <x v="2"/>
    <x v="2"/>
  </r>
  <r>
    <x v="276"/>
    <x v="6"/>
    <x v="9"/>
    <x v="245"/>
    <n v="209.5"/>
    <x v="11"/>
    <d v="2025-01-19T00:00:00"/>
    <x v="0"/>
    <x v="0"/>
    <x v="0"/>
    <x v="0"/>
    <x v="3"/>
    <x v="6"/>
    <x v="2"/>
    <x v="0"/>
  </r>
  <r>
    <x v="277"/>
    <x v="1"/>
    <x v="9"/>
    <x v="246"/>
    <n v="337.5"/>
    <x v="11"/>
    <d v="2025-01-13T00:00:00"/>
    <x v="2"/>
    <x v="0"/>
    <x v="2"/>
    <x v="0"/>
    <x v="3"/>
    <x v="3"/>
    <x v="2"/>
    <x v="2"/>
  </r>
  <r>
    <x v="278"/>
    <x v="9"/>
    <x v="0"/>
    <x v="247"/>
    <n v="60.4"/>
    <x v="12"/>
    <d v="2025-01-15T00:00:00"/>
    <x v="2"/>
    <x v="1"/>
    <x v="1"/>
    <x v="0"/>
    <x v="3"/>
    <x v="1"/>
    <x v="2"/>
    <x v="2"/>
  </r>
  <r>
    <x v="279"/>
    <x v="1"/>
    <x v="3"/>
    <x v="248"/>
    <n v="212.79999999999998"/>
    <x v="12"/>
    <d v="2025-01-16T00:00:00"/>
    <x v="2"/>
    <x v="4"/>
    <x v="0"/>
    <x v="0"/>
    <x v="3"/>
    <x v="2"/>
    <x v="2"/>
    <x v="2"/>
  </r>
  <r>
    <x v="280"/>
    <x v="14"/>
    <x v="1"/>
    <x v="249"/>
    <n v="49"/>
    <x v="12"/>
    <d v="2025-01-14T00:00:00"/>
    <x v="1"/>
    <x v="3"/>
    <x v="2"/>
    <x v="0"/>
    <x v="3"/>
    <x v="3"/>
    <x v="2"/>
    <x v="1"/>
  </r>
  <r>
    <x v="281"/>
    <x v="2"/>
    <x v="2"/>
    <x v="250"/>
    <n v="317.70000000000005"/>
    <x v="12"/>
    <d v="2025-01-18T00:00:00"/>
    <x v="1"/>
    <x v="0"/>
    <x v="0"/>
    <x v="0"/>
    <x v="37"/>
    <x v="0"/>
    <x v="2"/>
    <x v="1"/>
  </r>
  <r>
    <x v="282"/>
    <x v="10"/>
    <x v="25"/>
    <x v="122"/>
    <n v="621.59999999999991"/>
    <x v="12"/>
    <d v="2025-01-14T00:00:00"/>
    <x v="2"/>
    <x v="4"/>
    <x v="0"/>
    <x v="0"/>
    <x v="23"/>
    <x v="3"/>
    <x v="2"/>
    <x v="2"/>
  </r>
  <r>
    <x v="283"/>
    <x v="6"/>
    <x v="2"/>
    <x v="114"/>
    <n v="200.39999999999998"/>
    <x v="12"/>
    <d v="2025-01-13T00:00:00"/>
    <x v="1"/>
    <x v="0"/>
    <x v="0"/>
    <x v="0"/>
    <x v="23"/>
    <x v="7"/>
    <x v="2"/>
    <x v="1"/>
  </r>
  <r>
    <x v="284"/>
    <x v="6"/>
    <x v="2"/>
    <x v="251"/>
    <n v="336.9"/>
    <x v="12"/>
    <d v="2025-01-14T00:00:00"/>
    <x v="1"/>
    <x v="2"/>
    <x v="4"/>
    <x v="0"/>
    <x v="6"/>
    <x v="3"/>
    <x v="2"/>
    <x v="1"/>
  </r>
  <r>
    <x v="285"/>
    <x v="1"/>
    <x v="13"/>
    <x v="252"/>
    <n v="564.59999999999991"/>
    <x v="12"/>
    <d v="2025-01-14T00:00:00"/>
    <x v="2"/>
    <x v="0"/>
    <x v="4"/>
    <x v="0"/>
    <x v="6"/>
    <x v="3"/>
    <x v="2"/>
    <x v="2"/>
  </r>
  <r>
    <x v="286"/>
    <x v="5"/>
    <x v="0"/>
    <x v="253"/>
    <n v="40.700000000000003"/>
    <x v="12"/>
    <d v="2025-01-16T00:00:00"/>
    <x v="2"/>
    <x v="2"/>
    <x v="0"/>
    <x v="0"/>
    <x v="6"/>
    <x v="2"/>
    <x v="2"/>
    <x v="2"/>
  </r>
  <r>
    <x v="287"/>
    <x v="3"/>
    <x v="1"/>
    <x v="254"/>
    <n v="142.80000000000001"/>
    <x v="12"/>
    <d v="2025-01-14T00:00:00"/>
    <x v="1"/>
    <x v="0"/>
    <x v="0"/>
    <x v="0"/>
    <x v="7"/>
    <x v="3"/>
    <x v="2"/>
    <x v="1"/>
  </r>
  <r>
    <x v="288"/>
    <x v="0"/>
    <x v="16"/>
    <x v="255"/>
    <n v="280.8"/>
    <x v="12"/>
    <d v="2025-01-14T00:00:00"/>
    <x v="1"/>
    <x v="1"/>
    <x v="3"/>
    <x v="0"/>
    <x v="8"/>
    <x v="3"/>
    <x v="2"/>
    <x v="1"/>
  </r>
  <r>
    <x v="289"/>
    <x v="10"/>
    <x v="12"/>
    <x v="256"/>
    <n v="151.19999999999999"/>
    <x v="12"/>
    <d v="2025-01-14T00:00:00"/>
    <x v="1"/>
    <x v="2"/>
    <x v="2"/>
    <x v="0"/>
    <x v="8"/>
    <x v="3"/>
    <x v="2"/>
    <x v="1"/>
  </r>
  <r>
    <x v="290"/>
    <x v="4"/>
    <x v="2"/>
    <x v="257"/>
    <n v="84.300000000000011"/>
    <x v="12"/>
    <d v="2025-01-17T00:00:00"/>
    <x v="1"/>
    <x v="0"/>
    <x v="0"/>
    <x v="0"/>
    <x v="8"/>
    <x v="5"/>
    <x v="2"/>
    <x v="1"/>
  </r>
  <r>
    <x v="291"/>
    <x v="7"/>
    <x v="13"/>
    <x v="258"/>
    <n v="308.39999999999998"/>
    <x v="12"/>
    <d v="2025-01-17T00:00:00"/>
    <x v="1"/>
    <x v="0"/>
    <x v="0"/>
    <x v="0"/>
    <x v="8"/>
    <x v="5"/>
    <x v="2"/>
    <x v="1"/>
  </r>
  <r>
    <x v="292"/>
    <x v="7"/>
    <x v="1"/>
    <x v="67"/>
    <n v="195.4"/>
    <x v="12"/>
    <d v="2025-01-15T00:00:00"/>
    <x v="2"/>
    <x v="4"/>
    <x v="2"/>
    <x v="0"/>
    <x v="17"/>
    <x v="1"/>
    <x v="2"/>
    <x v="2"/>
  </r>
  <r>
    <x v="293"/>
    <x v="1"/>
    <x v="12"/>
    <x v="259"/>
    <n v="255.2"/>
    <x v="12"/>
    <d v="2025-01-14T00:00:00"/>
    <x v="1"/>
    <x v="2"/>
    <x v="0"/>
    <x v="0"/>
    <x v="38"/>
    <x v="3"/>
    <x v="2"/>
    <x v="1"/>
  </r>
  <r>
    <x v="294"/>
    <x v="13"/>
    <x v="1"/>
    <x v="260"/>
    <n v="40.200000000000003"/>
    <x v="12"/>
    <d v="2025-01-15T00:00:00"/>
    <x v="1"/>
    <x v="0"/>
    <x v="2"/>
    <x v="0"/>
    <x v="20"/>
    <x v="1"/>
    <x v="2"/>
    <x v="1"/>
  </r>
  <r>
    <x v="295"/>
    <x v="11"/>
    <x v="2"/>
    <x v="88"/>
    <n v="151.19999999999999"/>
    <x v="12"/>
    <d v="2025-01-16T00:00:00"/>
    <x v="2"/>
    <x v="3"/>
    <x v="0"/>
    <x v="0"/>
    <x v="13"/>
    <x v="2"/>
    <x v="2"/>
    <x v="2"/>
  </r>
  <r>
    <x v="296"/>
    <x v="0"/>
    <x v="0"/>
    <x v="261"/>
    <n v="16.2"/>
    <x v="12"/>
    <d v="2025-01-26T00:00:00"/>
    <x v="2"/>
    <x v="1"/>
    <x v="0"/>
    <x v="0"/>
    <x v="1"/>
    <x v="10"/>
    <x v="2"/>
    <x v="2"/>
  </r>
  <r>
    <x v="297"/>
    <x v="6"/>
    <x v="3"/>
    <x v="262"/>
    <n v="566.30000000000007"/>
    <x v="12"/>
    <d v="2025-01-15T00:00:00"/>
    <x v="1"/>
    <x v="4"/>
    <x v="4"/>
    <x v="0"/>
    <x v="2"/>
    <x v="1"/>
    <x v="2"/>
    <x v="1"/>
  </r>
  <r>
    <x v="298"/>
    <x v="9"/>
    <x v="13"/>
    <x v="263"/>
    <n v="571.20000000000005"/>
    <x v="12"/>
    <d v="2025-01-15T00:00:00"/>
    <x v="2"/>
    <x v="0"/>
    <x v="2"/>
    <x v="0"/>
    <x v="2"/>
    <x v="1"/>
    <x v="2"/>
    <x v="2"/>
  </r>
  <r>
    <x v="299"/>
    <x v="5"/>
    <x v="8"/>
    <x v="264"/>
    <n v="563.20000000000005"/>
    <x v="12"/>
    <d v="2025-01-14T00:00:00"/>
    <x v="1"/>
    <x v="1"/>
    <x v="1"/>
    <x v="0"/>
    <x v="3"/>
    <x v="3"/>
    <x v="2"/>
    <x v="1"/>
  </r>
  <r>
    <x v="300"/>
    <x v="0"/>
    <x v="9"/>
    <x v="265"/>
    <n v="53.5"/>
    <x v="12"/>
    <d v="2025-01-17T00:00:00"/>
    <x v="2"/>
    <x v="2"/>
    <x v="0"/>
    <x v="0"/>
    <x v="3"/>
    <x v="5"/>
    <x v="2"/>
    <x v="2"/>
  </r>
  <r>
    <x v="301"/>
    <x v="8"/>
    <x v="9"/>
    <x v="266"/>
    <n v="98"/>
    <x v="12"/>
    <d v="2025-01-15T00:00:00"/>
    <x v="2"/>
    <x v="0"/>
    <x v="3"/>
    <x v="0"/>
    <x v="3"/>
    <x v="1"/>
    <x v="2"/>
    <x v="2"/>
  </r>
  <r>
    <x v="302"/>
    <x v="8"/>
    <x v="5"/>
    <x v="267"/>
    <n v="381.70000000000005"/>
    <x v="12"/>
    <d v="2025-01-15T00:00:00"/>
    <x v="2"/>
    <x v="0"/>
    <x v="2"/>
    <x v="0"/>
    <x v="3"/>
    <x v="1"/>
    <x v="2"/>
    <x v="2"/>
  </r>
  <r>
    <x v="303"/>
    <x v="10"/>
    <x v="11"/>
    <x v="268"/>
    <n v="306.90000000000003"/>
    <x v="12"/>
    <d v="2025-01-14T00:00:00"/>
    <x v="2"/>
    <x v="4"/>
    <x v="1"/>
    <x v="0"/>
    <x v="3"/>
    <x v="3"/>
    <x v="2"/>
    <x v="2"/>
  </r>
  <r>
    <x v="304"/>
    <x v="0"/>
    <x v="26"/>
    <x v="143"/>
    <n v="1435.7"/>
    <x v="12"/>
    <d v="2025-01-13T00:00:00"/>
    <x v="1"/>
    <x v="0"/>
    <x v="1"/>
    <x v="0"/>
    <x v="3"/>
    <x v="7"/>
    <x v="2"/>
    <x v="1"/>
  </r>
  <r>
    <x v="305"/>
    <x v="1"/>
    <x v="0"/>
    <x v="204"/>
    <n v="55.2"/>
    <x v="12"/>
    <d v="2025-01-14T00:00:00"/>
    <x v="2"/>
    <x v="0"/>
    <x v="1"/>
    <x v="0"/>
    <x v="3"/>
    <x v="3"/>
    <x v="2"/>
    <x v="2"/>
  </r>
  <r>
    <x v="306"/>
    <x v="18"/>
    <x v="2"/>
    <x v="269"/>
    <n v="78"/>
    <x v="12"/>
    <d v="2025-01-16T00:00:00"/>
    <x v="2"/>
    <x v="0"/>
    <x v="2"/>
    <x v="0"/>
    <x v="3"/>
    <x v="2"/>
    <x v="2"/>
    <x v="2"/>
  </r>
  <r>
    <x v="307"/>
    <x v="14"/>
    <x v="1"/>
    <x v="270"/>
    <n v="28.4"/>
    <x v="12"/>
    <d v="2025-01-18T00:00:00"/>
    <x v="2"/>
    <x v="3"/>
    <x v="0"/>
    <x v="0"/>
    <x v="39"/>
    <x v="0"/>
    <x v="2"/>
    <x v="2"/>
  </r>
  <r>
    <x v="308"/>
    <x v="8"/>
    <x v="11"/>
    <x v="188"/>
    <n v="204.29999999999998"/>
    <x v="13"/>
    <d v="2025-01-15T00:00:00"/>
    <x v="1"/>
    <x v="1"/>
    <x v="0"/>
    <x v="0"/>
    <x v="6"/>
    <x v="3"/>
    <x v="2"/>
    <x v="1"/>
  </r>
  <r>
    <x v="309"/>
    <x v="0"/>
    <x v="20"/>
    <x v="82"/>
    <n v="297"/>
    <x v="13"/>
    <d v="2025-01-14T00:00:00"/>
    <x v="2"/>
    <x v="0"/>
    <x v="2"/>
    <x v="0"/>
    <x v="6"/>
    <x v="7"/>
    <x v="2"/>
    <x v="2"/>
  </r>
  <r>
    <x v="310"/>
    <x v="0"/>
    <x v="2"/>
    <x v="132"/>
    <n v="95.1"/>
    <x v="13"/>
    <d v="2025-01-15T00:00:00"/>
    <x v="1"/>
    <x v="2"/>
    <x v="0"/>
    <x v="0"/>
    <x v="6"/>
    <x v="3"/>
    <x v="2"/>
    <x v="1"/>
  </r>
  <r>
    <x v="311"/>
    <x v="8"/>
    <x v="12"/>
    <x v="248"/>
    <n v="121.6"/>
    <x v="13"/>
    <d v="2025-01-18T00:00:00"/>
    <x v="1"/>
    <x v="0"/>
    <x v="0"/>
    <x v="0"/>
    <x v="6"/>
    <x v="5"/>
    <x v="2"/>
    <x v="1"/>
  </r>
  <r>
    <x v="312"/>
    <x v="0"/>
    <x v="12"/>
    <x v="170"/>
    <n v="102.4"/>
    <x v="13"/>
    <d v="2025-01-15T00:00:00"/>
    <x v="1"/>
    <x v="3"/>
    <x v="0"/>
    <x v="0"/>
    <x v="8"/>
    <x v="3"/>
    <x v="2"/>
    <x v="1"/>
  </r>
  <r>
    <x v="313"/>
    <x v="5"/>
    <x v="1"/>
    <x v="271"/>
    <n v="69.8"/>
    <x v="13"/>
    <d v="2025-01-15T00:00:00"/>
    <x v="2"/>
    <x v="2"/>
    <x v="0"/>
    <x v="0"/>
    <x v="9"/>
    <x v="3"/>
    <x v="2"/>
    <x v="2"/>
  </r>
  <r>
    <x v="314"/>
    <x v="7"/>
    <x v="13"/>
    <x v="272"/>
    <n v="256.20000000000005"/>
    <x v="13"/>
    <d v="2025-01-17T00:00:00"/>
    <x v="1"/>
    <x v="2"/>
    <x v="1"/>
    <x v="0"/>
    <x v="11"/>
    <x v="2"/>
    <x v="2"/>
    <x v="1"/>
  </r>
  <r>
    <x v="315"/>
    <x v="8"/>
    <x v="0"/>
    <x v="273"/>
    <n v="23.9"/>
    <x v="13"/>
    <d v="2025-01-16T00:00:00"/>
    <x v="2"/>
    <x v="3"/>
    <x v="0"/>
    <x v="0"/>
    <x v="11"/>
    <x v="1"/>
    <x v="2"/>
    <x v="2"/>
  </r>
  <r>
    <x v="316"/>
    <x v="6"/>
    <x v="0"/>
    <x v="274"/>
    <n v="124.3"/>
    <x v="13"/>
    <d v="2025-01-15T00:00:00"/>
    <x v="0"/>
    <x v="2"/>
    <x v="1"/>
    <x v="0"/>
    <x v="21"/>
    <x v="3"/>
    <x v="2"/>
    <x v="0"/>
  </r>
  <r>
    <x v="317"/>
    <x v="8"/>
    <x v="13"/>
    <x v="275"/>
    <n v="215.39999999999998"/>
    <x v="13"/>
    <d v="2025-01-15T00:00:00"/>
    <x v="2"/>
    <x v="0"/>
    <x v="1"/>
    <x v="0"/>
    <x v="1"/>
    <x v="3"/>
    <x v="2"/>
    <x v="2"/>
  </r>
  <r>
    <x v="318"/>
    <x v="2"/>
    <x v="1"/>
    <x v="276"/>
    <n v="138.19999999999999"/>
    <x v="13"/>
    <d v="2025-01-17T00:00:00"/>
    <x v="2"/>
    <x v="0"/>
    <x v="2"/>
    <x v="0"/>
    <x v="22"/>
    <x v="2"/>
    <x v="2"/>
    <x v="2"/>
  </r>
  <r>
    <x v="319"/>
    <x v="7"/>
    <x v="0"/>
    <x v="277"/>
    <n v="58.4"/>
    <x v="13"/>
    <d v="2025-01-18T00:00:00"/>
    <x v="1"/>
    <x v="0"/>
    <x v="0"/>
    <x v="0"/>
    <x v="22"/>
    <x v="5"/>
    <x v="2"/>
    <x v="1"/>
  </r>
  <r>
    <x v="320"/>
    <x v="5"/>
    <x v="0"/>
    <x v="203"/>
    <n v="65.2"/>
    <x v="13"/>
    <d v="2025-01-16T00:00:00"/>
    <x v="3"/>
    <x v="4"/>
    <x v="4"/>
    <x v="0"/>
    <x v="3"/>
    <x v="1"/>
    <x v="2"/>
    <x v="3"/>
  </r>
  <r>
    <x v="321"/>
    <x v="8"/>
    <x v="14"/>
    <x v="195"/>
    <n v="555.90000000000009"/>
    <x v="13"/>
    <d v="2025-01-21T00:00:00"/>
    <x v="0"/>
    <x v="4"/>
    <x v="0"/>
    <x v="0"/>
    <x v="3"/>
    <x v="6"/>
    <x v="2"/>
    <x v="0"/>
  </r>
  <r>
    <x v="322"/>
    <x v="10"/>
    <x v="3"/>
    <x v="278"/>
    <n v="170.79999999999998"/>
    <x v="13"/>
    <d v="2025-01-15T00:00:00"/>
    <x v="2"/>
    <x v="0"/>
    <x v="0"/>
    <x v="0"/>
    <x v="3"/>
    <x v="3"/>
    <x v="2"/>
    <x v="2"/>
  </r>
  <r>
    <x v="323"/>
    <x v="14"/>
    <x v="1"/>
    <x v="88"/>
    <n v="100.8"/>
    <x v="13"/>
    <d v="2025-01-20T00:00:00"/>
    <x v="1"/>
    <x v="0"/>
    <x v="1"/>
    <x v="0"/>
    <x v="3"/>
    <x v="4"/>
    <x v="2"/>
    <x v="1"/>
  </r>
  <r>
    <x v="324"/>
    <x v="1"/>
    <x v="1"/>
    <x v="279"/>
    <n v="200"/>
    <x v="13"/>
    <d v="2025-01-15T00:00:00"/>
    <x v="2"/>
    <x v="0"/>
    <x v="0"/>
    <x v="0"/>
    <x v="3"/>
    <x v="3"/>
    <x v="2"/>
    <x v="2"/>
  </r>
  <r>
    <x v="325"/>
    <x v="10"/>
    <x v="2"/>
    <x v="280"/>
    <n v="129"/>
    <x v="14"/>
    <d v="2025-01-15T00:00:00"/>
    <x v="2"/>
    <x v="2"/>
    <x v="1"/>
    <x v="0"/>
    <x v="3"/>
    <x v="7"/>
    <x v="2"/>
    <x v="2"/>
  </r>
  <r>
    <x v="326"/>
    <x v="1"/>
    <x v="9"/>
    <x v="281"/>
    <n v="322"/>
    <x v="14"/>
    <d v="2025-01-17T00:00:00"/>
    <x v="1"/>
    <x v="2"/>
    <x v="1"/>
    <x v="0"/>
    <x v="3"/>
    <x v="1"/>
    <x v="2"/>
    <x v="1"/>
  </r>
  <r>
    <x v="327"/>
    <x v="18"/>
    <x v="1"/>
    <x v="214"/>
    <n v="114.8"/>
    <x v="14"/>
    <d v="2025-01-16T00:00:00"/>
    <x v="1"/>
    <x v="2"/>
    <x v="1"/>
    <x v="0"/>
    <x v="3"/>
    <x v="3"/>
    <x v="2"/>
    <x v="1"/>
  </r>
  <r>
    <x v="328"/>
    <x v="2"/>
    <x v="2"/>
    <x v="282"/>
    <n v="165.3"/>
    <x v="14"/>
    <d v="2025-01-18T00:00:00"/>
    <x v="2"/>
    <x v="1"/>
    <x v="0"/>
    <x v="0"/>
    <x v="3"/>
    <x v="2"/>
    <x v="2"/>
    <x v="2"/>
  </r>
  <r>
    <x v="329"/>
    <x v="7"/>
    <x v="12"/>
    <x v="102"/>
    <n v="181.6"/>
    <x v="14"/>
    <d v="2025-01-16T00:00:00"/>
    <x v="2"/>
    <x v="1"/>
    <x v="0"/>
    <x v="0"/>
    <x v="3"/>
    <x v="3"/>
    <x v="2"/>
    <x v="2"/>
  </r>
  <r>
    <x v="330"/>
    <x v="3"/>
    <x v="2"/>
    <x v="283"/>
    <n v="279.89999999999998"/>
    <x v="14"/>
    <d v="2025-01-16T00:00:00"/>
    <x v="2"/>
    <x v="0"/>
    <x v="0"/>
    <x v="0"/>
    <x v="40"/>
    <x v="3"/>
    <x v="2"/>
    <x v="2"/>
  </r>
  <r>
    <x v="331"/>
    <x v="2"/>
    <x v="10"/>
    <x v="284"/>
    <n v="3005.7999999999997"/>
    <x v="14"/>
    <d v="2025-01-16T00:00:00"/>
    <x v="2"/>
    <x v="1"/>
    <x v="2"/>
    <x v="0"/>
    <x v="16"/>
    <x v="3"/>
    <x v="2"/>
    <x v="2"/>
  </r>
  <r>
    <x v="332"/>
    <x v="2"/>
    <x v="1"/>
    <x v="285"/>
    <n v="149.80000000000001"/>
    <x v="14"/>
    <d v="2025-01-17T00:00:00"/>
    <x v="1"/>
    <x v="3"/>
    <x v="0"/>
    <x v="0"/>
    <x v="6"/>
    <x v="1"/>
    <x v="2"/>
    <x v="1"/>
  </r>
  <r>
    <x v="333"/>
    <x v="8"/>
    <x v="3"/>
    <x v="269"/>
    <n v="182"/>
    <x v="14"/>
    <d v="2025-01-18T00:00:00"/>
    <x v="2"/>
    <x v="1"/>
    <x v="0"/>
    <x v="0"/>
    <x v="8"/>
    <x v="2"/>
    <x v="2"/>
    <x v="2"/>
  </r>
  <r>
    <x v="334"/>
    <x v="9"/>
    <x v="13"/>
    <x v="151"/>
    <n v="225"/>
    <x v="14"/>
    <d v="2025-01-16T00:00:00"/>
    <x v="2"/>
    <x v="0"/>
    <x v="1"/>
    <x v="0"/>
    <x v="8"/>
    <x v="3"/>
    <x v="2"/>
    <x v="2"/>
  </r>
  <r>
    <x v="335"/>
    <x v="6"/>
    <x v="1"/>
    <x v="124"/>
    <n v="151.6"/>
    <x v="14"/>
    <d v="2025-01-21T00:00:00"/>
    <x v="1"/>
    <x v="0"/>
    <x v="0"/>
    <x v="0"/>
    <x v="8"/>
    <x v="4"/>
    <x v="2"/>
    <x v="1"/>
  </r>
  <r>
    <x v="336"/>
    <x v="7"/>
    <x v="0"/>
    <x v="286"/>
    <n v="48.5"/>
    <x v="14"/>
    <d v="2025-01-27T00:00:00"/>
    <x v="0"/>
    <x v="4"/>
    <x v="2"/>
    <x v="0"/>
    <x v="8"/>
    <x v="13"/>
    <x v="2"/>
    <x v="0"/>
  </r>
  <r>
    <x v="337"/>
    <x v="6"/>
    <x v="2"/>
    <x v="287"/>
    <n v="296.70000000000005"/>
    <x v="14"/>
    <d v="2025-01-17T00:00:00"/>
    <x v="2"/>
    <x v="4"/>
    <x v="1"/>
    <x v="0"/>
    <x v="8"/>
    <x v="1"/>
    <x v="2"/>
    <x v="2"/>
  </r>
  <r>
    <x v="338"/>
    <x v="1"/>
    <x v="4"/>
    <x v="28"/>
    <n v="610.79999999999995"/>
    <x v="14"/>
    <d v="2025-01-15T00:00:00"/>
    <x v="1"/>
    <x v="4"/>
    <x v="0"/>
    <x v="0"/>
    <x v="8"/>
    <x v="7"/>
    <x v="2"/>
    <x v="1"/>
  </r>
  <r>
    <x v="339"/>
    <x v="12"/>
    <x v="13"/>
    <x v="288"/>
    <n v="508.20000000000005"/>
    <x v="14"/>
    <d v="2025-01-15T00:00:00"/>
    <x v="2"/>
    <x v="2"/>
    <x v="0"/>
    <x v="0"/>
    <x v="8"/>
    <x v="7"/>
    <x v="2"/>
    <x v="2"/>
  </r>
  <r>
    <x v="340"/>
    <x v="8"/>
    <x v="0"/>
    <x v="289"/>
    <n v="20.7"/>
    <x v="14"/>
    <d v="2025-01-17T00:00:00"/>
    <x v="2"/>
    <x v="3"/>
    <x v="2"/>
    <x v="0"/>
    <x v="8"/>
    <x v="1"/>
    <x v="2"/>
    <x v="2"/>
  </r>
  <r>
    <x v="341"/>
    <x v="12"/>
    <x v="11"/>
    <x v="211"/>
    <n v="520.19999999999993"/>
    <x v="14"/>
    <d v="2025-01-26T00:00:00"/>
    <x v="1"/>
    <x v="0"/>
    <x v="4"/>
    <x v="0"/>
    <x v="17"/>
    <x v="11"/>
    <x v="2"/>
    <x v="1"/>
  </r>
  <r>
    <x v="342"/>
    <x v="2"/>
    <x v="1"/>
    <x v="290"/>
    <n v="213.8"/>
    <x v="14"/>
    <d v="2025-01-17T00:00:00"/>
    <x v="2"/>
    <x v="0"/>
    <x v="2"/>
    <x v="0"/>
    <x v="41"/>
    <x v="1"/>
    <x v="2"/>
    <x v="2"/>
  </r>
  <r>
    <x v="343"/>
    <x v="3"/>
    <x v="9"/>
    <x v="291"/>
    <n v="226"/>
    <x v="14"/>
    <d v="2025-01-19T00:00:00"/>
    <x v="2"/>
    <x v="1"/>
    <x v="0"/>
    <x v="0"/>
    <x v="21"/>
    <x v="5"/>
    <x v="2"/>
    <x v="2"/>
  </r>
  <r>
    <x v="344"/>
    <x v="8"/>
    <x v="15"/>
    <x v="292"/>
    <n v="449.8"/>
    <x v="14"/>
    <d v="2025-01-15T00:00:00"/>
    <x v="2"/>
    <x v="1"/>
    <x v="1"/>
    <x v="0"/>
    <x v="21"/>
    <x v="7"/>
    <x v="2"/>
    <x v="2"/>
  </r>
  <r>
    <x v="345"/>
    <x v="15"/>
    <x v="0"/>
    <x v="20"/>
    <n v="43.8"/>
    <x v="14"/>
    <d v="2025-01-17T00:00:00"/>
    <x v="0"/>
    <x v="0"/>
    <x v="2"/>
    <x v="0"/>
    <x v="21"/>
    <x v="1"/>
    <x v="2"/>
    <x v="0"/>
  </r>
  <r>
    <x v="346"/>
    <x v="15"/>
    <x v="0"/>
    <x v="293"/>
    <n v="20.399999999999999"/>
    <x v="14"/>
    <d v="2025-01-17T00:00:00"/>
    <x v="1"/>
    <x v="4"/>
    <x v="1"/>
    <x v="0"/>
    <x v="21"/>
    <x v="1"/>
    <x v="2"/>
    <x v="1"/>
  </r>
  <r>
    <x v="347"/>
    <x v="1"/>
    <x v="0"/>
    <x v="294"/>
    <n v="36.700000000000003"/>
    <x v="14"/>
    <d v="2025-01-16T00:00:00"/>
    <x v="1"/>
    <x v="0"/>
    <x v="1"/>
    <x v="0"/>
    <x v="1"/>
    <x v="3"/>
    <x v="2"/>
    <x v="1"/>
  </r>
  <r>
    <x v="348"/>
    <x v="8"/>
    <x v="2"/>
    <x v="295"/>
    <n v="81.599999999999994"/>
    <x v="14"/>
    <d v="2025-01-19T00:00:00"/>
    <x v="1"/>
    <x v="0"/>
    <x v="2"/>
    <x v="0"/>
    <x v="1"/>
    <x v="5"/>
    <x v="2"/>
    <x v="1"/>
  </r>
  <r>
    <x v="349"/>
    <x v="6"/>
    <x v="0"/>
    <x v="296"/>
    <n v="58.2"/>
    <x v="14"/>
    <d v="2025-01-16T00:00:00"/>
    <x v="2"/>
    <x v="0"/>
    <x v="2"/>
    <x v="0"/>
    <x v="42"/>
    <x v="3"/>
    <x v="2"/>
    <x v="2"/>
  </r>
  <r>
    <x v="350"/>
    <x v="8"/>
    <x v="2"/>
    <x v="170"/>
    <n v="76.800000000000011"/>
    <x v="14"/>
    <d v="2025-01-16T00:00:00"/>
    <x v="1"/>
    <x v="4"/>
    <x v="4"/>
    <x v="0"/>
    <x v="2"/>
    <x v="3"/>
    <x v="2"/>
    <x v="1"/>
  </r>
  <r>
    <x v="351"/>
    <x v="10"/>
    <x v="0"/>
    <x v="191"/>
    <n v="21.2"/>
    <x v="14"/>
    <d v="2025-01-15T00:00:00"/>
    <x v="2"/>
    <x v="1"/>
    <x v="2"/>
    <x v="0"/>
    <x v="3"/>
    <x v="7"/>
    <x v="2"/>
    <x v="2"/>
  </r>
  <r>
    <x v="352"/>
    <x v="6"/>
    <x v="1"/>
    <x v="297"/>
    <n v="96.4"/>
    <x v="14"/>
    <d v="2025-01-23T00:00:00"/>
    <x v="2"/>
    <x v="0"/>
    <x v="2"/>
    <x v="0"/>
    <x v="3"/>
    <x v="9"/>
    <x v="2"/>
    <x v="2"/>
  </r>
  <r>
    <x v="353"/>
    <x v="1"/>
    <x v="12"/>
    <x v="298"/>
    <n v="333.6"/>
    <x v="15"/>
    <d v="2025-01-17T00:00:00"/>
    <x v="1"/>
    <x v="0"/>
    <x v="0"/>
    <x v="0"/>
    <x v="3"/>
    <x v="3"/>
    <x v="2"/>
    <x v="1"/>
  </r>
  <r>
    <x v="354"/>
    <x v="9"/>
    <x v="2"/>
    <x v="299"/>
    <n v="135.89999999999998"/>
    <x v="15"/>
    <d v="2025-01-22T00:00:00"/>
    <x v="1"/>
    <x v="2"/>
    <x v="1"/>
    <x v="0"/>
    <x v="3"/>
    <x v="4"/>
    <x v="2"/>
    <x v="1"/>
  </r>
  <r>
    <x v="355"/>
    <x v="17"/>
    <x v="0"/>
    <x v="300"/>
    <n v="42"/>
    <x v="15"/>
    <d v="2025-01-17T00:00:00"/>
    <x v="0"/>
    <x v="0"/>
    <x v="0"/>
    <x v="0"/>
    <x v="3"/>
    <x v="3"/>
    <x v="2"/>
    <x v="0"/>
  </r>
  <r>
    <x v="356"/>
    <x v="0"/>
    <x v="11"/>
    <x v="301"/>
    <n v="196.20000000000002"/>
    <x v="15"/>
    <d v="2025-01-18T00:00:00"/>
    <x v="2"/>
    <x v="1"/>
    <x v="0"/>
    <x v="0"/>
    <x v="3"/>
    <x v="1"/>
    <x v="2"/>
    <x v="2"/>
  </r>
  <r>
    <x v="357"/>
    <x v="8"/>
    <x v="16"/>
    <x v="302"/>
    <n v="385.2"/>
    <x v="15"/>
    <d v="2025-01-19T00:00:00"/>
    <x v="2"/>
    <x v="1"/>
    <x v="2"/>
    <x v="0"/>
    <x v="3"/>
    <x v="2"/>
    <x v="2"/>
    <x v="2"/>
  </r>
  <r>
    <x v="358"/>
    <x v="10"/>
    <x v="2"/>
    <x v="303"/>
    <n v="135"/>
    <x v="15"/>
    <d v="2025-01-16T00:00:00"/>
    <x v="2"/>
    <x v="1"/>
    <x v="2"/>
    <x v="0"/>
    <x v="3"/>
    <x v="7"/>
    <x v="2"/>
    <x v="2"/>
  </r>
  <r>
    <x v="359"/>
    <x v="14"/>
    <x v="0"/>
    <x v="180"/>
    <n v="39.6"/>
    <x v="15"/>
    <d v="2025-01-17T00:00:00"/>
    <x v="1"/>
    <x v="0"/>
    <x v="2"/>
    <x v="0"/>
    <x v="3"/>
    <x v="3"/>
    <x v="2"/>
    <x v="1"/>
  </r>
  <r>
    <x v="360"/>
    <x v="12"/>
    <x v="2"/>
    <x v="304"/>
    <n v="239.39999999999998"/>
    <x v="15"/>
    <d v="2025-01-22T00:00:00"/>
    <x v="2"/>
    <x v="1"/>
    <x v="4"/>
    <x v="0"/>
    <x v="3"/>
    <x v="4"/>
    <x v="2"/>
    <x v="2"/>
  </r>
  <r>
    <x v="361"/>
    <x v="1"/>
    <x v="12"/>
    <x v="305"/>
    <n v="254.4"/>
    <x v="15"/>
    <d v="2025-01-17T00:00:00"/>
    <x v="3"/>
    <x v="0"/>
    <x v="2"/>
    <x v="0"/>
    <x v="24"/>
    <x v="3"/>
    <x v="2"/>
    <x v="3"/>
  </r>
  <r>
    <x v="362"/>
    <x v="7"/>
    <x v="7"/>
    <x v="306"/>
    <n v="927"/>
    <x v="15"/>
    <d v="2025-01-20T00:00:00"/>
    <x v="1"/>
    <x v="1"/>
    <x v="2"/>
    <x v="0"/>
    <x v="6"/>
    <x v="5"/>
    <x v="2"/>
    <x v="1"/>
  </r>
  <r>
    <x v="363"/>
    <x v="1"/>
    <x v="12"/>
    <x v="72"/>
    <n v="193.6"/>
    <x v="15"/>
    <d v="2025-01-18T00:00:00"/>
    <x v="2"/>
    <x v="1"/>
    <x v="2"/>
    <x v="0"/>
    <x v="6"/>
    <x v="1"/>
    <x v="2"/>
    <x v="2"/>
  </r>
  <r>
    <x v="364"/>
    <x v="9"/>
    <x v="8"/>
    <x v="307"/>
    <n v="288"/>
    <x v="15"/>
    <d v="2025-01-19T00:00:00"/>
    <x v="1"/>
    <x v="2"/>
    <x v="2"/>
    <x v="0"/>
    <x v="8"/>
    <x v="2"/>
    <x v="2"/>
    <x v="1"/>
  </r>
  <r>
    <x v="365"/>
    <x v="8"/>
    <x v="4"/>
    <x v="49"/>
    <n v="324"/>
    <x v="15"/>
    <d v="2025-01-18T00:00:00"/>
    <x v="2"/>
    <x v="2"/>
    <x v="1"/>
    <x v="0"/>
    <x v="8"/>
    <x v="1"/>
    <x v="2"/>
    <x v="2"/>
  </r>
  <r>
    <x v="366"/>
    <x v="2"/>
    <x v="8"/>
    <x v="190"/>
    <n v="431.2"/>
    <x v="15"/>
    <d v="2025-01-17T00:00:00"/>
    <x v="0"/>
    <x v="0"/>
    <x v="0"/>
    <x v="0"/>
    <x v="8"/>
    <x v="3"/>
    <x v="2"/>
    <x v="0"/>
  </r>
  <r>
    <x v="367"/>
    <x v="3"/>
    <x v="11"/>
    <x v="72"/>
    <n v="435.59999999999997"/>
    <x v="15"/>
    <d v="2025-01-17T00:00:00"/>
    <x v="2"/>
    <x v="1"/>
    <x v="0"/>
    <x v="0"/>
    <x v="9"/>
    <x v="3"/>
    <x v="2"/>
    <x v="2"/>
  </r>
  <r>
    <x v="368"/>
    <x v="17"/>
    <x v="1"/>
    <x v="308"/>
    <n v="99.8"/>
    <x v="15"/>
    <d v="2025-01-21T00:00:00"/>
    <x v="1"/>
    <x v="4"/>
    <x v="4"/>
    <x v="0"/>
    <x v="10"/>
    <x v="0"/>
    <x v="2"/>
    <x v="1"/>
  </r>
  <r>
    <x v="369"/>
    <x v="1"/>
    <x v="2"/>
    <x v="309"/>
    <n v="155.10000000000002"/>
    <x v="15"/>
    <d v="2025-01-17T00:00:00"/>
    <x v="2"/>
    <x v="0"/>
    <x v="2"/>
    <x v="0"/>
    <x v="11"/>
    <x v="3"/>
    <x v="2"/>
    <x v="2"/>
  </r>
  <r>
    <x v="370"/>
    <x v="8"/>
    <x v="2"/>
    <x v="80"/>
    <n v="125.39999999999999"/>
    <x v="15"/>
    <d v="2025-01-18T00:00:00"/>
    <x v="2"/>
    <x v="2"/>
    <x v="0"/>
    <x v="0"/>
    <x v="18"/>
    <x v="1"/>
    <x v="2"/>
    <x v="2"/>
  </r>
  <r>
    <x v="371"/>
    <x v="4"/>
    <x v="12"/>
    <x v="310"/>
    <n v="144.80000000000001"/>
    <x v="16"/>
    <d v="2025-01-18T00:00:00"/>
    <x v="1"/>
    <x v="2"/>
    <x v="2"/>
    <x v="0"/>
    <x v="21"/>
    <x v="3"/>
    <x v="2"/>
    <x v="1"/>
  </r>
  <r>
    <x v="372"/>
    <x v="2"/>
    <x v="0"/>
    <x v="311"/>
    <n v="150.9"/>
    <x v="16"/>
    <d v="2025-01-27T00:00:00"/>
    <x v="1"/>
    <x v="0"/>
    <x v="0"/>
    <x v="0"/>
    <x v="1"/>
    <x v="14"/>
    <x v="2"/>
    <x v="1"/>
  </r>
  <r>
    <x v="373"/>
    <x v="18"/>
    <x v="12"/>
    <x v="312"/>
    <n v="310.39999999999998"/>
    <x v="16"/>
    <d v="2025-01-18T00:00:00"/>
    <x v="0"/>
    <x v="2"/>
    <x v="0"/>
    <x v="0"/>
    <x v="3"/>
    <x v="3"/>
    <x v="2"/>
    <x v="0"/>
  </r>
  <r>
    <x v="374"/>
    <x v="13"/>
    <x v="9"/>
    <x v="313"/>
    <n v="327.5"/>
    <x v="16"/>
    <d v="2025-01-17T00:00:00"/>
    <x v="1"/>
    <x v="1"/>
    <x v="0"/>
    <x v="0"/>
    <x v="3"/>
    <x v="7"/>
    <x v="2"/>
    <x v="1"/>
  </r>
  <r>
    <x v="375"/>
    <x v="6"/>
    <x v="2"/>
    <x v="314"/>
    <n v="270.29999999999995"/>
    <x v="16"/>
    <d v="2025-01-19T00:00:00"/>
    <x v="2"/>
    <x v="0"/>
    <x v="0"/>
    <x v="0"/>
    <x v="3"/>
    <x v="1"/>
    <x v="2"/>
    <x v="2"/>
  </r>
  <r>
    <x v="376"/>
    <x v="1"/>
    <x v="1"/>
    <x v="315"/>
    <n v="216.6"/>
    <x v="16"/>
    <d v="2025-01-20T00:00:00"/>
    <x v="3"/>
    <x v="4"/>
    <x v="0"/>
    <x v="0"/>
    <x v="3"/>
    <x v="2"/>
    <x v="2"/>
    <x v="3"/>
  </r>
  <r>
    <x v="377"/>
    <x v="5"/>
    <x v="2"/>
    <x v="316"/>
    <n v="179.7"/>
    <x v="16"/>
    <d v="2025-01-21T00:00:00"/>
    <x v="2"/>
    <x v="0"/>
    <x v="0"/>
    <x v="0"/>
    <x v="3"/>
    <x v="5"/>
    <x v="2"/>
    <x v="2"/>
  </r>
  <r>
    <x v="378"/>
    <x v="2"/>
    <x v="14"/>
    <x v="40"/>
    <n v="2363"/>
    <x v="16"/>
    <d v="2025-01-19T00:00:00"/>
    <x v="2"/>
    <x v="1"/>
    <x v="4"/>
    <x v="0"/>
    <x v="3"/>
    <x v="1"/>
    <x v="2"/>
    <x v="2"/>
  </r>
  <r>
    <x v="379"/>
    <x v="6"/>
    <x v="2"/>
    <x v="317"/>
    <n v="261.89999999999998"/>
    <x v="16"/>
    <d v="2025-01-18T00:00:00"/>
    <x v="2"/>
    <x v="0"/>
    <x v="0"/>
    <x v="0"/>
    <x v="3"/>
    <x v="3"/>
    <x v="2"/>
    <x v="2"/>
  </r>
  <r>
    <x v="380"/>
    <x v="11"/>
    <x v="12"/>
    <x v="318"/>
    <n v="169.2"/>
    <x v="16"/>
    <d v="2025-01-17T00:00:00"/>
    <x v="1"/>
    <x v="0"/>
    <x v="0"/>
    <x v="0"/>
    <x v="3"/>
    <x v="7"/>
    <x v="2"/>
    <x v="1"/>
  </r>
  <r>
    <x v="381"/>
    <x v="14"/>
    <x v="8"/>
    <x v="319"/>
    <n v="828.8"/>
    <x v="16"/>
    <d v="2025-01-18T00:00:00"/>
    <x v="3"/>
    <x v="0"/>
    <x v="1"/>
    <x v="0"/>
    <x v="3"/>
    <x v="3"/>
    <x v="2"/>
    <x v="3"/>
  </r>
  <r>
    <x v="382"/>
    <x v="6"/>
    <x v="1"/>
    <x v="238"/>
    <n v="181.8"/>
    <x v="16"/>
    <d v="2025-01-18T00:00:00"/>
    <x v="1"/>
    <x v="1"/>
    <x v="0"/>
    <x v="0"/>
    <x v="6"/>
    <x v="3"/>
    <x v="2"/>
    <x v="1"/>
  </r>
  <r>
    <x v="383"/>
    <x v="9"/>
    <x v="27"/>
    <x v="320"/>
    <n v="1614.4"/>
    <x v="16"/>
    <d v="2025-01-18T00:00:00"/>
    <x v="2"/>
    <x v="1"/>
    <x v="0"/>
    <x v="0"/>
    <x v="6"/>
    <x v="3"/>
    <x v="2"/>
    <x v="2"/>
  </r>
  <r>
    <x v="384"/>
    <x v="4"/>
    <x v="9"/>
    <x v="307"/>
    <n v="180"/>
    <x v="16"/>
    <d v="2025-01-19T00:00:00"/>
    <x v="2"/>
    <x v="1"/>
    <x v="0"/>
    <x v="0"/>
    <x v="7"/>
    <x v="1"/>
    <x v="2"/>
    <x v="2"/>
  </r>
  <r>
    <x v="385"/>
    <x v="6"/>
    <x v="13"/>
    <x v="321"/>
    <n v="499.79999999999995"/>
    <x v="16"/>
    <d v="2025-01-20T00:00:00"/>
    <x v="0"/>
    <x v="2"/>
    <x v="0"/>
    <x v="0"/>
    <x v="7"/>
    <x v="2"/>
    <x v="2"/>
    <x v="0"/>
  </r>
  <r>
    <x v="386"/>
    <x v="2"/>
    <x v="14"/>
    <x v="322"/>
    <n v="1025.0999999999999"/>
    <x v="16"/>
    <d v="2025-01-18T00:00:00"/>
    <x v="1"/>
    <x v="2"/>
    <x v="1"/>
    <x v="0"/>
    <x v="7"/>
    <x v="3"/>
    <x v="2"/>
    <x v="1"/>
  </r>
  <r>
    <x v="387"/>
    <x v="2"/>
    <x v="13"/>
    <x v="323"/>
    <n v="721.8"/>
    <x v="16"/>
    <d v="2025-01-18T00:00:00"/>
    <x v="1"/>
    <x v="2"/>
    <x v="0"/>
    <x v="0"/>
    <x v="8"/>
    <x v="3"/>
    <x v="2"/>
    <x v="1"/>
  </r>
  <r>
    <x v="388"/>
    <x v="4"/>
    <x v="7"/>
    <x v="324"/>
    <n v="340"/>
    <x v="16"/>
    <d v="2025-01-21T00:00:00"/>
    <x v="2"/>
    <x v="2"/>
    <x v="0"/>
    <x v="0"/>
    <x v="8"/>
    <x v="5"/>
    <x v="2"/>
    <x v="2"/>
  </r>
  <r>
    <x v="389"/>
    <x v="10"/>
    <x v="9"/>
    <x v="325"/>
    <n v="213"/>
    <x v="16"/>
    <d v="2025-01-20T00:00:00"/>
    <x v="1"/>
    <x v="1"/>
    <x v="0"/>
    <x v="0"/>
    <x v="8"/>
    <x v="2"/>
    <x v="2"/>
    <x v="1"/>
  </r>
  <r>
    <x v="390"/>
    <x v="5"/>
    <x v="28"/>
    <x v="68"/>
    <n v="948"/>
    <x v="16"/>
    <d v="2025-01-17T00:00:00"/>
    <x v="2"/>
    <x v="2"/>
    <x v="1"/>
    <x v="0"/>
    <x v="17"/>
    <x v="7"/>
    <x v="2"/>
    <x v="2"/>
  </r>
  <r>
    <x v="391"/>
    <x v="2"/>
    <x v="0"/>
    <x v="326"/>
    <n v="74"/>
    <x v="17"/>
    <d v="2025-01-19T00:00:00"/>
    <x v="1"/>
    <x v="1"/>
    <x v="0"/>
    <x v="0"/>
    <x v="11"/>
    <x v="3"/>
    <x v="2"/>
    <x v="1"/>
  </r>
  <r>
    <x v="392"/>
    <x v="2"/>
    <x v="9"/>
    <x v="247"/>
    <n v="302"/>
    <x v="17"/>
    <d v="2025-01-21T00:00:00"/>
    <x v="2"/>
    <x v="1"/>
    <x v="4"/>
    <x v="0"/>
    <x v="18"/>
    <x v="2"/>
    <x v="2"/>
    <x v="2"/>
  </r>
  <r>
    <x v="393"/>
    <x v="12"/>
    <x v="1"/>
    <x v="327"/>
    <n v="138.6"/>
    <x v="17"/>
    <d v="2025-01-21T00:00:00"/>
    <x v="1"/>
    <x v="1"/>
    <x v="1"/>
    <x v="0"/>
    <x v="13"/>
    <x v="2"/>
    <x v="2"/>
    <x v="1"/>
  </r>
  <r>
    <x v="394"/>
    <x v="5"/>
    <x v="9"/>
    <x v="328"/>
    <n v="405"/>
    <x v="17"/>
    <d v="2025-01-24T00:00:00"/>
    <x v="1"/>
    <x v="3"/>
    <x v="0"/>
    <x v="0"/>
    <x v="21"/>
    <x v="4"/>
    <x v="2"/>
    <x v="1"/>
  </r>
  <r>
    <x v="395"/>
    <x v="15"/>
    <x v="2"/>
    <x v="329"/>
    <n v="124.5"/>
    <x v="17"/>
    <d v="2025-01-20T00:00:00"/>
    <x v="3"/>
    <x v="1"/>
    <x v="0"/>
    <x v="0"/>
    <x v="21"/>
    <x v="1"/>
    <x v="2"/>
    <x v="3"/>
  </r>
  <r>
    <x v="396"/>
    <x v="18"/>
    <x v="1"/>
    <x v="330"/>
    <n v="139.4"/>
    <x v="17"/>
    <d v="2025-01-23T00:00:00"/>
    <x v="1"/>
    <x v="1"/>
    <x v="0"/>
    <x v="0"/>
    <x v="21"/>
    <x v="0"/>
    <x v="2"/>
    <x v="1"/>
  </r>
  <r>
    <x v="397"/>
    <x v="2"/>
    <x v="9"/>
    <x v="331"/>
    <n v="418"/>
    <x v="17"/>
    <d v="2025-01-18T00:00:00"/>
    <x v="2"/>
    <x v="4"/>
    <x v="0"/>
    <x v="0"/>
    <x v="1"/>
    <x v="7"/>
    <x v="2"/>
    <x v="2"/>
  </r>
  <r>
    <x v="398"/>
    <x v="8"/>
    <x v="3"/>
    <x v="332"/>
    <n v="150.5"/>
    <x v="17"/>
    <d v="2025-01-20T00:00:00"/>
    <x v="1"/>
    <x v="1"/>
    <x v="4"/>
    <x v="0"/>
    <x v="34"/>
    <x v="1"/>
    <x v="2"/>
    <x v="1"/>
  </r>
  <r>
    <x v="399"/>
    <x v="8"/>
    <x v="8"/>
    <x v="85"/>
    <n v="228.8"/>
    <x v="17"/>
    <d v="2025-01-19T00:00:00"/>
    <x v="1"/>
    <x v="0"/>
    <x v="0"/>
    <x v="0"/>
    <x v="3"/>
    <x v="3"/>
    <x v="2"/>
    <x v="1"/>
  </r>
  <r>
    <x v="400"/>
    <x v="8"/>
    <x v="13"/>
    <x v="333"/>
    <n v="112.80000000000001"/>
    <x v="17"/>
    <d v="2025-01-21T00:00:00"/>
    <x v="1"/>
    <x v="3"/>
    <x v="2"/>
    <x v="0"/>
    <x v="3"/>
    <x v="2"/>
    <x v="2"/>
    <x v="1"/>
  </r>
  <r>
    <x v="401"/>
    <x v="10"/>
    <x v="12"/>
    <x v="334"/>
    <n v="140.4"/>
    <x v="17"/>
    <d v="2025-01-18T00:00:00"/>
    <x v="2"/>
    <x v="1"/>
    <x v="1"/>
    <x v="0"/>
    <x v="3"/>
    <x v="7"/>
    <x v="2"/>
    <x v="2"/>
  </r>
  <r>
    <x v="402"/>
    <x v="0"/>
    <x v="1"/>
    <x v="335"/>
    <n v="25.4"/>
    <x v="17"/>
    <d v="2025-01-20T00:00:00"/>
    <x v="2"/>
    <x v="1"/>
    <x v="2"/>
    <x v="0"/>
    <x v="3"/>
    <x v="1"/>
    <x v="2"/>
    <x v="2"/>
  </r>
  <r>
    <x v="403"/>
    <x v="8"/>
    <x v="9"/>
    <x v="336"/>
    <n v="137"/>
    <x v="17"/>
    <d v="2025-01-20T00:00:00"/>
    <x v="3"/>
    <x v="0"/>
    <x v="0"/>
    <x v="0"/>
    <x v="3"/>
    <x v="1"/>
    <x v="2"/>
    <x v="3"/>
  </r>
  <r>
    <x v="404"/>
    <x v="10"/>
    <x v="1"/>
    <x v="148"/>
    <n v="122.6"/>
    <x v="17"/>
    <d v="2025-01-19T00:00:00"/>
    <x v="2"/>
    <x v="1"/>
    <x v="0"/>
    <x v="0"/>
    <x v="6"/>
    <x v="3"/>
    <x v="2"/>
    <x v="2"/>
  </r>
  <r>
    <x v="405"/>
    <x v="8"/>
    <x v="1"/>
    <x v="337"/>
    <n v="129.4"/>
    <x v="17"/>
    <d v="2025-01-20T00:00:00"/>
    <x v="2"/>
    <x v="3"/>
    <x v="2"/>
    <x v="0"/>
    <x v="6"/>
    <x v="1"/>
    <x v="2"/>
    <x v="2"/>
  </r>
  <r>
    <x v="406"/>
    <x v="7"/>
    <x v="12"/>
    <x v="338"/>
    <n v="365.6"/>
    <x v="17"/>
    <d v="2025-01-20T00:00:00"/>
    <x v="2"/>
    <x v="0"/>
    <x v="0"/>
    <x v="0"/>
    <x v="8"/>
    <x v="1"/>
    <x v="2"/>
    <x v="2"/>
  </r>
  <r>
    <x v="407"/>
    <x v="0"/>
    <x v="1"/>
    <x v="199"/>
    <n v="66.2"/>
    <x v="18"/>
    <d v="2025-01-20T00:00:00"/>
    <x v="1"/>
    <x v="0"/>
    <x v="2"/>
    <x v="0"/>
    <x v="8"/>
    <x v="3"/>
    <x v="3"/>
    <x v="1"/>
  </r>
  <r>
    <x v="408"/>
    <x v="3"/>
    <x v="1"/>
    <x v="339"/>
    <n v="211.2"/>
    <x v="18"/>
    <d v="2025-01-20T00:00:00"/>
    <x v="1"/>
    <x v="2"/>
    <x v="1"/>
    <x v="0"/>
    <x v="8"/>
    <x v="3"/>
    <x v="3"/>
    <x v="1"/>
  </r>
  <r>
    <x v="409"/>
    <x v="10"/>
    <x v="2"/>
    <x v="340"/>
    <n v="139.19999999999999"/>
    <x v="18"/>
    <d v="2025-01-20T00:00:00"/>
    <x v="1"/>
    <x v="2"/>
    <x v="0"/>
    <x v="0"/>
    <x v="9"/>
    <x v="3"/>
    <x v="3"/>
    <x v="1"/>
  </r>
  <r>
    <x v="410"/>
    <x v="9"/>
    <x v="21"/>
    <x v="341"/>
    <n v="494.19999999999993"/>
    <x v="18"/>
    <d v="2025-01-22T00:00:00"/>
    <x v="2"/>
    <x v="4"/>
    <x v="1"/>
    <x v="0"/>
    <x v="11"/>
    <x v="2"/>
    <x v="3"/>
    <x v="2"/>
  </r>
  <r>
    <x v="411"/>
    <x v="0"/>
    <x v="1"/>
    <x v="342"/>
    <n v="32.200000000000003"/>
    <x v="18"/>
    <d v="2025-01-21T00:00:00"/>
    <x v="1"/>
    <x v="3"/>
    <x v="2"/>
    <x v="0"/>
    <x v="32"/>
    <x v="1"/>
    <x v="3"/>
    <x v="1"/>
  </r>
  <r>
    <x v="412"/>
    <x v="4"/>
    <x v="1"/>
    <x v="343"/>
    <n v="55.8"/>
    <x v="18"/>
    <d v="2025-01-22T00:00:00"/>
    <x v="1"/>
    <x v="0"/>
    <x v="0"/>
    <x v="0"/>
    <x v="13"/>
    <x v="2"/>
    <x v="3"/>
    <x v="1"/>
  </r>
  <r>
    <x v="413"/>
    <x v="8"/>
    <x v="0"/>
    <x v="344"/>
    <n v="47.1"/>
    <x v="18"/>
    <d v="2025-01-27T00:00:00"/>
    <x v="2"/>
    <x v="1"/>
    <x v="0"/>
    <x v="0"/>
    <x v="2"/>
    <x v="9"/>
    <x v="3"/>
    <x v="2"/>
  </r>
  <r>
    <x v="414"/>
    <x v="6"/>
    <x v="1"/>
    <x v="345"/>
    <n v="170"/>
    <x v="18"/>
    <d v="2025-01-22T00:00:00"/>
    <x v="0"/>
    <x v="2"/>
    <x v="2"/>
    <x v="0"/>
    <x v="22"/>
    <x v="2"/>
    <x v="3"/>
    <x v="0"/>
  </r>
  <r>
    <x v="415"/>
    <x v="18"/>
    <x v="1"/>
    <x v="346"/>
    <n v="178"/>
    <x v="18"/>
    <d v="2025-01-21T00:00:00"/>
    <x v="2"/>
    <x v="0"/>
    <x v="0"/>
    <x v="0"/>
    <x v="3"/>
    <x v="1"/>
    <x v="3"/>
    <x v="2"/>
  </r>
  <r>
    <x v="416"/>
    <x v="16"/>
    <x v="2"/>
    <x v="17"/>
    <n v="109.80000000000001"/>
    <x v="18"/>
    <d v="2025-01-20T00:00:00"/>
    <x v="3"/>
    <x v="3"/>
    <x v="2"/>
    <x v="0"/>
    <x v="3"/>
    <x v="3"/>
    <x v="3"/>
    <x v="3"/>
  </r>
  <r>
    <x v="417"/>
    <x v="6"/>
    <x v="3"/>
    <x v="347"/>
    <n v="304.5"/>
    <x v="18"/>
    <d v="2025-01-20T00:00:00"/>
    <x v="1"/>
    <x v="1"/>
    <x v="2"/>
    <x v="0"/>
    <x v="3"/>
    <x v="3"/>
    <x v="3"/>
    <x v="1"/>
  </r>
  <r>
    <x v="418"/>
    <x v="9"/>
    <x v="10"/>
    <x v="162"/>
    <n v="579.5"/>
    <x v="18"/>
    <d v="2025-01-19T00:00:00"/>
    <x v="2"/>
    <x v="3"/>
    <x v="0"/>
    <x v="0"/>
    <x v="3"/>
    <x v="7"/>
    <x v="3"/>
    <x v="2"/>
  </r>
  <r>
    <x v="419"/>
    <x v="1"/>
    <x v="1"/>
    <x v="348"/>
    <n v="215.4"/>
    <x v="18"/>
    <d v="2025-01-23T00:00:00"/>
    <x v="1"/>
    <x v="3"/>
    <x v="4"/>
    <x v="0"/>
    <x v="3"/>
    <x v="5"/>
    <x v="3"/>
    <x v="1"/>
  </r>
  <r>
    <x v="420"/>
    <x v="17"/>
    <x v="18"/>
    <x v="140"/>
    <n v="1484.6000000000001"/>
    <x v="18"/>
    <d v="2025-01-20T00:00:00"/>
    <x v="1"/>
    <x v="1"/>
    <x v="0"/>
    <x v="0"/>
    <x v="3"/>
    <x v="3"/>
    <x v="3"/>
    <x v="1"/>
  </r>
  <r>
    <x v="421"/>
    <x v="2"/>
    <x v="7"/>
    <x v="349"/>
    <n v="1117"/>
    <x v="18"/>
    <d v="2025-01-20T00:00:00"/>
    <x v="2"/>
    <x v="4"/>
    <x v="2"/>
    <x v="0"/>
    <x v="3"/>
    <x v="3"/>
    <x v="3"/>
    <x v="2"/>
  </r>
  <r>
    <x v="422"/>
    <x v="18"/>
    <x v="3"/>
    <x v="112"/>
    <n v="310.09999999999997"/>
    <x v="18"/>
    <d v="2025-01-22T00:00:00"/>
    <x v="1"/>
    <x v="3"/>
    <x v="2"/>
    <x v="0"/>
    <x v="3"/>
    <x v="2"/>
    <x v="3"/>
    <x v="1"/>
  </r>
  <r>
    <x v="423"/>
    <x v="2"/>
    <x v="8"/>
    <x v="350"/>
    <n v="766.4"/>
    <x v="18"/>
    <d v="2025-01-25T00:00:00"/>
    <x v="3"/>
    <x v="0"/>
    <x v="0"/>
    <x v="0"/>
    <x v="3"/>
    <x v="4"/>
    <x v="3"/>
    <x v="3"/>
  </r>
  <r>
    <x v="424"/>
    <x v="10"/>
    <x v="3"/>
    <x v="351"/>
    <n v="158.20000000000002"/>
    <x v="18"/>
    <d v="2025-01-22T00:00:00"/>
    <x v="2"/>
    <x v="3"/>
    <x v="1"/>
    <x v="0"/>
    <x v="3"/>
    <x v="2"/>
    <x v="3"/>
    <x v="2"/>
  </r>
  <r>
    <x v="425"/>
    <x v="8"/>
    <x v="8"/>
    <x v="170"/>
    <n v="204.8"/>
    <x v="18"/>
    <d v="2025-01-21T00:00:00"/>
    <x v="2"/>
    <x v="4"/>
    <x v="0"/>
    <x v="0"/>
    <x v="3"/>
    <x v="1"/>
    <x v="3"/>
    <x v="2"/>
  </r>
  <r>
    <x v="426"/>
    <x v="6"/>
    <x v="27"/>
    <x v="352"/>
    <n v="868.8"/>
    <x v="18"/>
    <d v="2025-01-22T00:00:00"/>
    <x v="2"/>
    <x v="4"/>
    <x v="0"/>
    <x v="0"/>
    <x v="3"/>
    <x v="2"/>
    <x v="3"/>
    <x v="2"/>
  </r>
  <r>
    <x v="427"/>
    <x v="18"/>
    <x v="15"/>
    <x v="353"/>
    <n v="666.9"/>
    <x v="18"/>
    <d v="2025-01-21T00:00:00"/>
    <x v="1"/>
    <x v="0"/>
    <x v="2"/>
    <x v="0"/>
    <x v="3"/>
    <x v="1"/>
    <x v="3"/>
    <x v="1"/>
  </r>
  <r>
    <x v="428"/>
    <x v="0"/>
    <x v="8"/>
    <x v="170"/>
    <n v="204.8"/>
    <x v="18"/>
    <d v="2025-01-20T00:00:00"/>
    <x v="2"/>
    <x v="1"/>
    <x v="1"/>
    <x v="0"/>
    <x v="3"/>
    <x v="3"/>
    <x v="3"/>
    <x v="2"/>
  </r>
  <r>
    <x v="429"/>
    <x v="0"/>
    <x v="1"/>
    <x v="255"/>
    <n v="31.2"/>
    <x v="18"/>
    <d v="2025-01-20T00:00:00"/>
    <x v="2"/>
    <x v="2"/>
    <x v="2"/>
    <x v="0"/>
    <x v="3"/>
    <x v="3"/>
    <x v="3"/>
    <x v="2"/>
  </r>
  <r>
    <x v="430"/>
    <x v="8"/>
    <x v="2"/>
    <x v="165"/>
    <n v="90.9"/>
    <x v="18"/>
    <d v="2025-01-23T00:00:00"/>
    <x v="2"/>
    <x v="0"/>
    <x v="1"/>
    <x v="0"/>
    <x v="3"/>
    <x v="5"/>
    <x v="3"/>
    <x v="2"/>
  </r>
  <r>
    <x v="431"/>
    <x v="12"/>
    <x v="1"/>
    <x v="165"/>
    <n v="60.6"/>
    <x v="18"/>
    <d v="2025-01-24T00:00:00"/>
    <x v="2"/>
    <x v="0"/>
    <x v="2"/>
    <x v="0"/>
    <x v="37"/>
    <x v="0"/>
    <x v="3"/>
    <x v="2"/>
  </r>
  <r>
    <x v="432"/>
    <x v="10"/>
    <x v="2"/>
    <x v="98"/>
    <n v="159"/>
    <x v="18"/>
    <d v="2025-01-26T00:00:00"/>
    <x v="2"/>
    <x v="2"/>
    <x v="0"/>
    <x v="0"/>
    <x v="24"/>
    <x v="6"/>
    <x v="3"/>
    <x v="2"/>
  </r>
  <r>
    <x v="433"/>
    <x v="5"/>
    <x v="16"/>
    <x v="316"/>
    <n v="1078.2"/>
    <x v="18"/>
    <d v="2025-01-22T00:00:00"/>
    <x v="1"/>
    <x v="2"/>
    <x v="4"/>
    <x v="0"/>
    <x v="25"/>
    <x v="2"/>
    <x v="3"/>
    <x v="1"/>
  </r>
  <r>
    <x v="434"/>
    <x v="9"/>
    <x v="1"/>
    <x v="108"/>
    <n v="91.4"/>
    <x v="18"/>
    <d v="2025-01-20T00:00:00"/>
    <x v="2"/>
    <x v="1"/>
    <x v="2"/>
    <x v="0"/>
    <x v="6"/>
    <x v="3"/>
    <x v="3"/>
    <x v="2"/>
  </r>
  <r>
    <x v="435"/>
    <x v="8"/>
    <x v="12"/>
    <x v="354"/>
    <n v="184.4"/>
    <x v="18"/>
    <d v="2025-01-20T00:00:00"/>
    <x v="1"/>
    <x v="0"/>
    <x v="0"/>
    <x v="0"/>
    <x v="6"/>
    <x v="3"/>
    <x v="3"/>
    <x v="1"/>
  </r>
  <r>
    <x v="436"/>
    <x v="8"/>
    <x v="2"/>
    <x v="25"/>
    <n v="52.5"/>
    <x v="18"/>
    <d v="2025-01-20T00:00:00"/>
    <x v="2"/>
    <x v="0"/>
    <x v="2"/>
    <x v="0"/>
    <x v="8"/>
    <x v="3"/>
    <x v="3"/>
    <x v="2"/>
  </r>
  <r>
    <x v="437"/>
    <x v="10"/>
    <x v="2"/>
    <x v="355"/>
    <n v="109.5"/>
    <x v="18"/>
    <d v="2025-01-30T00:00:00"/>
    <x v="1"/>
    <x v="2"/>
    <x v="0"/>
    <x v="0"/>
    <x v="8"/>
    <x v="11"/>
    <x v="3"/>
    <x v="1"/>
  </r>
  <r>
    <x v="438"/>
    <x v="8"/>
    <x v="1"/>
    <x v="356"/>
    <n v="95"/>
    <x v="19"/>
    <d v="2025-01-22T00:00:00"/>
    <x v="2"/>
    <x v="1"/>
    <x v="0"/>
    <x v="0"/>
    <x v="8"/>
    <x v="1"/>
    <x v="3"/>
    <x v="2"/>
  </r>
  <r>
    <x v="439"/>
    <x v="6"/>
    <x v="9"/>
    <x v="357"/>
    <n v="228"/>
    <x v="19"/>
    <d v="2025-01-22T00:00:00"/>
    <x v="2"/>
    <x v="0"/>
    <x v="2"/>
    <x v="0"/>
    <x v="8"/>
    <x v="1"/>
    <x v="3"/>
    <x v="2"/>
  </r>
  <r>
    <x v="440"/>
    <x v="9"/>
    <x v="1"/>
    <x v="93"/>
    <n v="101"/>
    <x v="19"/>
    <d v="2025-01-22T00:00:00"/>
    <x v="1"/>
    <x v="0"/>
    <x v="1"/>
    <x v="0"/>
    <x v="17"/>
    <x v="1"/>
    <x v="3"/>
    <x v="1"/>
  </r>
  <r>
    <x v="441"/>
    <x v="2"/>
    <x v="7"/>
    <x v="358"/>
    <n v="998"/>
    <x v="19"/>
    <d v="2025-01-23T00:00:00"/>
    <x v="2"/>
    <x v="2"/>
    <x v="1"/>
    <x v="0"/>
    <x v="17"/>
    <x v="2"/>
    <x v="3"/>
    <x v="2"/>
  </r>
  <r>
    <x v="442"/>
    <x v="8"/>
    <x v="20"/>
    <x v="359"/>
    <n v="288"/>
    <x v="19"/>
    <d v="2025-01-22T00:00:00"/>
    <x v="3"/>
    <x v="4"/>
    <x v="1"/>
    <x v="0"/>
    <x v="26"/>
    <x v="1"/>
    <x v="3"/>
    <x v="3"/>
  </r>
  <r>
    <x v="443"/>
    <x v="17"/>
    <x v="2"/>
    <x v="351"/>
    <n v="67.800000000000011"/>
    <x v="19"/>
    <d v="2025-01-21T00:00:00"/>
    <x v="1"/>
    <x v="1"/>
    <x v="0"/>
    <x v="0"/>
    <x v="11"/>
    <x v="3"/>
    <x v="3"/>
    <x v="1"/>
  </r>
  <r>
    <x v="444"/>
    <x v="1"/>
    <x v="20"/>
    <x v="360"/>
    <n v="1903.5"/>
    <x v="19"/>
    <d v="2025-01-22T00:00:00"/>
    <x v="2"/>
    <x v="0"/>
    <x v="2"/>
    <x v="0"/>
    <x v="11"/>
    <x v="1"/>
    <x v="3"/>
    <x v="2"/>
  </r>
  <r>
    <x v="445"/>
    <x v="2"/>
    <x v="1"/>
    <x v="361"/>
    <n v="200.6"/>
    <x v="19"/>
    <d v="2025-01-21T00:00:00"/>
    <x v="2"/>
    <x v="0"/>
    <x v="1"/>
    <x v="0"/>
    <x v="11"/>
    <x v="3"/>
    <x v="3"/>
    <x v="2"/>
  </r>
  <r>
    <x v="446"/>
    <x v="4"/>
    <x v="16"/>
    <x v="362"/>
    <n v="442.8"/>
    <x v="19"/>
    <d v="2025-01-21T00:00:00"/>
    <x v="2"/>
    <x v="4"/>
    <x v="0"/>
    <x v="0"/>
    <x v="13"/>
    <x v="3"/>
    <x v="3"/>
    <x v="2"/>
  </r>
  <r>
    <x v="447"/>
    <x v="6"/>
    <x v="1"/>
    <x v="219"/>
    <n v="94.6"/>
    <x v="19"/>
    <d v="2025-01-21T00:00:00"/>
    <x v="1"/>
    <x v="1"/>
    <x v="2"/>
    <x v="0"/>
    <x v="13"/>
    <x v="3"/>
    <x v="3"/>
    <x v="1"/>
  </r>
  <r>
    <x v="448"/>
    <x v="6"/>
    <x v="3"/>
    <x v="363"/>
    <n v="285.59999999999997"/>
    <x v="19"/>
    <d v="2025-01-23T00:00:00"/>
    <x v="2"/>
    <x v="2"/>
    <x v="2"/>
    <x v="0"/>
    <x v="21"/>
    <x v="2"/>
    <x v="3"/>
    <x v="2"/>
  </r>
  <r>
    <x v="449"/>
    <x v="8"/>
    <x v="8"/>
    <x v="364"/>
    <n v="393.6"/>
    <x v="19"/>
    <d v="2025-01-22T00:00:00"/>
    <x v="2"/>
    <x v="0"/>
    <x v="0"/>
    <x v="0"/>
    <x v="1"/>
    <x v="1"/>
    <x v="3"/>
    <x v="2"/>
  </r>
  <r>
    <x v="450"/>
    <x v="8"/>
    <x v="0"/>
    <x v="365"/>
    <n v="28.5"/>
    <x v="19"/>
    <d v="2025-01-22T00:00:00"/>
    <x v="0"/>
    <x v="2"/>
    <x v="1"/>
    <x v="0"/>
    <x v="3"/>
    <x v="1"/>
    <x v="3"/>
    <x v="0"/>
  </r>
  <r>
    <x v="451"/>
    <x v="18"/>
    <x v="1"/>
    <x v="78"/>
    <n v="73.599999999999994"/>
    <x v="19"/>
    <d v="2025-01-26T00:00:00"/>
    <x v="2"/>
    <x v="0"/>
    <x v="2"/>
    <x v="0"/>
    <x v="3"/>
    <x v="4"/>
    <x v="3"/>
    <x v="2"/>
  </r>
  <r>
    <x v="452"/>
    <x v="7"/>
    <x v="2"/>
    <x v="232"/>
    <n v="100.5"/>
    <x v="19"/>
    <d v="2025-01-21T00:00:00"/>
    <x v="2"/>
    <x v="0"/>
    <x v="1"/>
    <x v="0"/>
    <x v="3"/>
    <x v="3"/>
    <x v="3"/>
    <x v="2"/>
  </r>
  <r>
    <x v="453"/>
    <x v="6"/>
    <x v="13"/>
    <x v="366"/>
    <n v="375"/>
    <x v="19"/>
    <d v="2025-01-22T00:00:00"/>
    <x v="2"/>
    <x v="0"/>
    <x v="0"/>
    <x v="0"/>
    <x v="3"/>
    <x v="1"/>
    <x v="3"/>
    <x v="2"/>
  </r>
  <r>
    <x v="454"/>
    <x v="8"/>
    <x v="29"/>
    <x v="367"/>
    <n v="1916"/>
    <x v="19"/>
    <d v="2025-01-21T00:00:00"/>
    <x v="2"/>
    <x v="3"/>
    <x v="0"/>
    <x v="0"/>
    <x v="3"/>
    <x v="3"/>
    <x v="3"/>
    <x v="2"/>
  </r>
  <r>
    <x v="455"/>
    <x v="6"/>
    <x v="13"/>
    <x v="368"/>
    <n v="557.40000000000009"/>
    <x v="19"/>
    <d v="2025-01-31T00:00:00"/>
    <x v="2"/>
    <x v="0"/>
    <x v="4"/>
    <x v="0"/>
    <x v="3"/>
    <x v="11"/>
    <x v="3"/>
    <x v="2"/>
  </r>
  <r>
    <x v="456"/>
    <x v="12"/>
    <x v="2"/>
    <x v="369"/>
    <n v="132.30000000000001"/>
    <x v="19"/>
    <d v="2025-01-20T00:00:00"/>
    <x v="2"/>
    <x v="1"/>
    <x v="1"/>
    <x v="0"/>
    <x v="43"/>
    <x v="7"/>
    <x v="3"/>
    <x v="2"/>
  </r>
  <r>
    <x v="457"/>
    <x v="0"/>
    <x v="0"/>
    <x v="370"/>
    <n v="11.4"/>
    <x v="20"/>
    <d v="2025-01-23T00:00:00"/>
    <x v="2"/>
    <x v="2"/>
    <x v="0"/>
    <x v="0"/>
    <x v="5"/>
    <x v="1"/>
    <x v="3"/>
    <x v="2"/>
  </r>
  <r>
    <x v="458"/>
    <x v="6"/>
    <x v="0"/>
    <x v="371"/>
    <n v="83.7"/>
    <x v="20"/>
    <d v="2025-01-23T00:00:00"/>
    <x v="2"/>
    <x v="0"/>
    <x v="2"/>
    <x v="0"/>
    <x v="6"/>
    <x v="1"/>
    <x v="3"/>
    <x v="2"/>
  </r>
  <r>
    <x v="459"/>
    <x v="10"/>
    <x v="1"/>
    <x v="372"/>
    <n v="46.4"/>
    <x v="20"/>
    <d v="2025-01-22T00:00:00"/>
    <x v="1"/>
    <x v="2"/>
    <x v="0"/>
    <x v="0"/>
    <x v="8"/>
    <x v="3"/>
    <x v="3"/>
    <x v="1"/>
  </r>
  <r>
    <x v="460"/>
    <x v="2"/>
    <x v="0"/>
    <x v="373"/>
    <n v="162.1"/>
    <x v="20"/>
    <d v="2025-01-24T00:00:00"/>
    <x v="2"/>
    <x v="0"/>
    <x v="2"/>
    <x v="0"/>
    <x v="9"/>
    <x v="2"/>
    <x v="3"/>
    <x v="2"/>
  </r>
  <r>
    <x v="461"/>
    <x v="6"/>
    <x v="12"/>
    <x v="364"/>
    <n v="196.8"/>
    <x v="20"/>
    <d v="2025-01-25T00:00:00"/>
    <x v="1"/>
    <x v="1"/>
    <x v="0"/>
    <x v="0"/>
    <x v="9"/>
    <x v="5"/>
    <x v="3"/>
    <x v="1"/>
  </r>
  <r>
    <x v="462"/>
    <x v="1"/>
    <x v="1"/>
    <x v="156"/>
    <n v="122"/>
    <x v="20"/>
    <d v="2025-01-22T00:00:00"/>
    <x v="1"/>
    <x v="3"/>
    <x v="0"/>
    <x v="0"/>
    <x v="10"/>
    <x v="3"/>
    <x v="3"/>
    <x v="1"/>
  </r>
  <r>
    <x v="463"/>
    <x v="2"/>
    <x v="7"/>
    <x v="213"/>
    <n v="531"/>
    <x v="20"/>
    <d v="2025-01-23T00:00:00"/>
    <x v="1"/>
    <x v="0"/>
    <x v="0"/>
    <x v="0"/>
    <x v="11"/>
    <x v="1"/>
    <x v="3"/>
    <x v="1"/>
  </r>
  <r>
    <x v="464"/>
    <x v="4"/>
    <x v="1"/>
    <x v="9"/>
    <n v="44.8"/>
    <x v="20"/>
    <d v="2025-01-23T00:00:00"/>
    <x v="0"/>
    <x v="1"/>
    <x v="2"/>
    <x v="0"/>
    <x v="13"/>
    <x v="1"/>
    <x v="3"/>
    <x v="0"/>
  </r>
  <r>
    <x v="465"/>
    <x v="1"/>
    <x v="9"/>
    <x v="374"/>
    <n v="376.5"/>
    <x v="20"/>
    <d v="2025-01-22T00:00:00"/>
    <x v="1"/>
    <x v="0"/>
    <x v="0"/>
    <x v="0"/>
    <x v="21"/>
    <x v="3"/>
    <x v="3"/>
    <x v="1"/>
  </r>
  <r>
    <x v="466"/>
    <x v="6"/>
    <x v="0"/>
    <x v="286"/>
    <n v="48.5"/>
    <x v="20"/>
    <d v="2025-01-22T00:00:00"/>
    <x v="2"/>
    <x v="0"/>
    <x v="1"/>
    <x v="0"/>
    <x v="21"/>
    <x v="3"/>
    <x v="3"/>
    <x v="2"/>
  </r>
  <r>
    <x v="467"/>
    <x v="6"/>
    <x v="0"/>
    <x v="325"/>
    <n v="42.6"/>
    <x v="20"/>
    <d v="2025-01-25T00:00:00"/>
    <x v="2"/>
    <x v="3"/>
    <x v="0"/>
    <x v="0"/>
    <x v="1"/>
    <x v="5"/>
    <x v="3"/>
    <x v="2"/>
  </r>
  <r>
    <x v="468"/>
    <x v="5"/>
    <x v="9"/>
    <x v="11"/>
    <n v="245"/>
    <x v="20"/>
    <d v="2025-01-22T00:00:00"/>
    <x v="1"/>
    <x v="0"/>
    <x v="0"/>
    <x v="0"/>
    <x v="22"/>
    <x v="3"/>
    <x v="3"/>
    <x v="1"/>
  </r>
  <r>
    <x v="469"/>
    <x v="8"/>
    <x v="2"/>
    <x v="375"/>
    <n v="93.9"/>
    <x v="20"/>
    <d v="2025-01-22T00:00:00"/>
    <x v="1"/>
    <x v="2"/>
    <x v="1"/>
    <x v="0"/>
    <x v="3"/>
    <x v="3"/>
    <x v="3"/>
    <x v="1"/>
  </r>
  <r>
    <x v="470"/>
    <x v="2"/>
    <x v="1"/>
    <x v="376"/>
    <n v="170.8"/>
    <x v="20"/>
    <d v="2025-01-22T00:00:00"/>
    <x v="2"/>
    <x v="2"/>
    <x v="0"/>
    <x v="0"/>
    <x v="3"/>
    <x v="3"/>
    <x v="3"/>
    <x v="2"/>
  </r>
  <r>
    <x v="471"/>
    <x v="8"/>
    <x v="12"/>
    <x v="152"/>
    <n v="160"/>
    <x v="20"/>
    <d v="2025-01-22T00:00:00"/>
    <x v="3"/>
    <x v="0"/>
    <x v="2"/>
    <x v="0"/>
    <x v="3"/>
    <x v="3"/>
    <x v="3"/>
    <x v="3"/>
  </r>
  <r>
    <x v="472"/>
    <x v="5"/>
    <x v="1"/>
    <x v="153"/>
    <n v="77"/>
    <x v="20"/>
    <d v="2025-01-24T00:00:00"/>
    <x v="1"/>
    <x v="1"/>
    <x v="2"/>
    <x v="0"/>
    <x v="3"/>
    <x v="2"/>
    <x v="3"/>
    <x v="1"/>
  </r>
  <r>
    <x v="473"/>
    <x v="2"/>
    <x v="1"/>
    <x v="211"/>
    <n v="115.6"/>
    <x v="20"/>
    <d v="2025-01-22T00:00:00"/>
    <x v="0"/>
    <x v="0"/>
    <x v="0"/>
    <x v="0"/>
    <x v="3"/>
    <x v="3"/>
    <x v="3"/>
    <x v="0"/>
  </r>
  <r>
    <x v="474"/>
    <x v="8"/>
    <x v="0"/>
    <x v="359"/>
    <n v="19.2"/>
    <x v="20"/>
    <d v="2025-01-22T00:00:00"/>
    <x v="2"/>
    <x v="0"/>
    <x v="4"/>
    <x v="0"/>
    <x v="3"/>
    <x v="3"/>
    <x v="3"/>
    <x v="2"/>
  </r>
  <r>
    <x v="475"/>
    <x v="6"/>
    <x v="13"/>
    <x v="377"/>
    <n v="688.8"/>
    <x v="20"/>
    <d v="2025-01-24T00:00:00"/>
    <x v="1"/>
    <x v="1"/>
    <x v="1"/>
    <x v="0"/>
    <x v="3"/>
    <x v="2"/>
    <x v="3"/>
    <x v="1"/>
  </r>
  <r>
    <x v="476"/>
    <x v="10"/>
    <x v="3"/>
    <x v="72"/>
    <n v="338.8"/>
    <x v="20"/>
    <d v="2025-01-24T00:00:00"/>
    <x v="2"/>
    <x v="3"/>
    <x v="1"/>
    <x v="0"/>
    <x v="3"/>
    <x v="2"/>
    <x v="3"/>
    <x v="2"/>
  </r>
  <r>
    <x v="477"/>
    <x v="9"/>
    <x v="9"/>
    <x v="378"/>
    <n v="366"/>
    <x v="20"/>
    <d v="2025-01-22T00:00:00"/>
    <x v="2"/>
    <x v="1"/>
    <x v="4"/>
    <x v="0"/>
    <x v="3"/>
    <x v="3"/>
    <x v="3"/>
    <x v="2"/>
  </r>
  <r>
    <x v="478"/>
    <x v="15"/>
    <x v="1"/>
    <x v="379"/>
    <n v="97.2"/>
    <x v="20"/>
    <d v="2025-01-25T00:00:00"/>
    <x v="2"/>
    <x v="3"/>
    <x v="0"/>
    <x v="0"/>
    <x v="3"/>
    <x v="5"/>
    <x v="3"/>
    <x v="2"/>
  </r>
  <r>
    <x v="479"/>
    <x v="0"/>
    <x v="13"/>
    <x v="242"/>
    <n v="292.20000000000005"/>
    <x v="20"/>
    <d v="2025-01-22T00:00:00"/>
    <x v="1"/>
    <x v="0"/>
    <x v="0"/>
    <x v="0"/>
    <x v="3"/>
    <x v="3"/>
    <x v="3"/>
    <x v="1"/>
  </r>
  <r>
    <x v="480"/>
    <x v="4"/>
    <x v="1"/>
    <x v="380"/>
    <n v="64.400000000000006"/>
    <x v="20"/>
    <d v="2025-01-24T00:00:00"/>
    <x v="1"/>
    <x v="2"/>
    <x v="2"/>
    <x v="0"/>
    <x v="3"/>
    <x v="2"/>
    <x v="3"/>
    <x v="1"/>
  </r>
  <r>
    <x v="481"/>
    <x v="15"/>
    <x v="8"/>
    <x v="136"/>
    <n v="206.4"/>
    <x v="20"/>
    <d v="2025-01-22T00:00:00"/>
    <x v="1"/>
    <x v="0"/>
    <x v="0"/>
    <x v="0"/>
    <x v="37"/>
    <x v="3"/>
    <x v="3"/>
    <x v="1"/>
  </r>
  <r>
    <x v="482"/>
    <x v="6"/>
    <x v="1"/>
    <x v="381"/>
    <n v="189.6"/>
    <x v="21"/>
    <d v="2025-01-25T00:00:00"/>
    <x v="2"/>
    <x v="1"/>
    <x v="1"/>
    <x v="0"/>
    <x v="25"/>
    <x v="2"/>
    <x v="3"/>
    <x v="2"/>
  </r>
  <r>
    <x v="483"/>
    <x v="15"/>
    <x v="30"/>
    <x v="382"/>
    <n v="1420"/>
    <x v="21"/>
    <d v="2025-01-25T00:00:00"/>
    <x v="1"/>
    <x v="0"/>
    <x v="0"/>
    <x v="0"/>
    <x v="25"/>
    <x v="2"/>
    <x v="3"/>
    <x v="1"/>
  </r>
  <r>
    <x v="484"/>
    <x v="8"/>
    <x v="27"/>
    <x v="383"/>
    <n v="292.8"/>
    <x v="21"/>
    <d v="2025-01-29T00:00:00"/>
    <x v="2"/>
    <x v="2"/>
    <x v="2"/>
    <x v="0"/>
    <x v="23"/>
    <x v="6"/>
    <x v="3"/>
    <x v="2"/>
  </r>
  <r>
    <x v="485"/>
    <x v="0"/>
    <x v="2"/>
    <x v="384"/>
    <n v="50.400000000000006"/>
    <x v="21"/>
    <d v="2025-01-27T00:00:00"/>
    <x v="2"/>
    <x v="2"/>
    <x v="2"/>
    <x v="0"/>
    <x v="8"/>
    <x v="0"/>
    <x v="3"/>
    <x v="2"/>
  </r>
  <r>
    <x v="486"/>
    <x v="5"/>
    <x v="5"/>
    <x v="385"/>
    <n v="393.79999999999995"/>
    <x v="21"/>
    <d v="2025-01-23T00:00:00"/>
    <x v="1"/>
    <x v="1"/>
    <x v="0"/>
    <x v="0"/>
    <x v="17"/>
    <x v="3"/>
    <x v="3"/>
    <x v="1"/>
  </r>
  <r>
    <x v="487"/>
    <x v="18"/>
    <x v="0"/>
    <x v="92"/>
    <n v="64.900000000000006"/>
    <x v="21"/>
    <d v="2025-01-23T00:00:00"/>
    <x v="1"/>
    <x v="0"/>
    <x v="1"/>
    <x v="0"/>
    <x v="17"/>
    <x v="3"/>
    <x v="3"/>
    <x v="1"/>
  </r>
  <r>
    <x v="488"/>
    <x v="18"/>
    <x v="0"/>
    <x v="365"/>
    <n v="28.5"/>
    <x v="21"/>
    <d v="2025-01-24T00:00:00"/>
    <x v="0"/>
    <x v="1"/>
    <x v="0"/>
    <x v="0"/>
    <x v="9"/>
    <x v="1"/>
    <x v="3"/>
    <x v="0"/>
  </r>
  <r>
    <x v="489"/>
    <x v="18"/>
    <x v="1"/>
    <x v="386"/>
    <n v="207"/>
    <x v="21"/>
    <d v="2025-01-24T00:00:00"/>
    <x v="2"/>
    <x v="1"/>
    <x v="0"/>
    <x v="0"/>
    <x v="10"/>
    <x v="1"/>
    <x v="3"/>
    <x v="2"/>
  </r>
  <r>
    <x v="490"/>
    <x v="4"/>
    <x v="1"/>
    <x v="387"/>
    <n v="82.4"/>
    <x v="21"/>
    <d v="2025-01-23T00:00:00"/>
    <x v="2"/>
    <x v="1"/>
    <x v="0"/>
    <x v="0"/>
    <x v="10"/>
    <x v="3"/>
    <x v="3"/>
    <x v="2"/>
  </r>
  <r>
    <x v="491"/>
    <x v="9"/>
    <x v="0"/>
    <x v="256"/>
    <n v="37.799999999999997"/>
    <x v="21"/>
    <d v="2025-01-24T00:00:00"/>
    <x v="2"/>
    <x v="3"/>
    <x v="3"/>
    <x v="0"/>
    <x v="11"/>
    <x v="1"/>
    <x v="3"/>
    <x v="2"/>
  </r>
  <r>
    <x v="492"/>
    <x v="8"/>
    <x v="1"/>
    <x v="325"/>
    <n v="85.2"/>
    <x v="21"/>
    <d v="2025-01-24T00:00:00"/>
    <x v="2"/>
    <x v="4"/>
    <x v="0"/>
    <x v="0"/>
    <x v="11"/>
    <x v="1"/>
    <x v="3"/>
    <x v="2"/>
  </r>
  <r>
    <x v="493"/>
    <x v="8"/>
    <x v="7"/>
    <x v="388"/>
    <n v="152"/>
    <x v="21"/>
    <d v="2025-01-24T00:00:00"/>
    <x v="2"/>
    <x v="2"/>
    <x v="0"/>
    <x v="0"/>
    <x v="11"/>
    <x v="1"/>
    <x v="3"/>
    <x v="2"/>
  </r>
  <r>
    <x v="494"/>
    <x v="7"/>
    <x v="12"/>
    <x v="298"/>
    <n v="333.6"/>
    <x v="21"/>
    <d v="2025-01-23T00:00:00"/>
    <x v="2"/>
    <x v="2"/>
    <x v="1"/>
    <x v="0"/>
    <x v="18"/>
    <x v="3"/>
    <x v="3"/>
    <x v="2"/>
  </r>
  <r>
    <x v="495"/>
    <x v="19"/>
    <x v="1"/>
    <x v="389"/>
    <n v="55.4"/>
    <x v="21"/>
    <d v="2025-01-23T00:00:00"/>
    <x v="2"/>
    <x v="0"/>
    <x v="1"/>
    <x v="0"/>
    <x v="13"/>
    <x v="3"/>
    <x v="3"/>
    <x v="2"/>
  </r>
  <r>
    <x v="496"/>
    <x v="10"/>
    <x v="4"/>
    <x v="390"/>
    <n v="249.60000000000002"/>
    <x v="21"/>
    <d v="2025-01-23T00:00:00"/>
    <x v="1"/>
    <x v="3"/>
    <x v="0"/>
    <x v="0"/>
    <x v="13"/>
    <x v="3"/>
    <x v="3"/>
    <x v="1"/>
  </r>
  <r>
    <x v="497"/>
    <x v="11"/>
    <x v="1"/>
    <x v="391"/>
    <n v="145.4"/>
    <x v="21"/>
    <d v="2025-01-26T00:00:00"/>
    <x v="2"/>
    <x v="4"/>
    <x v="2"/>
    <x v="0"/>
    <x v="44"/>
    <x v="5"/>
    <x v="3"/>
    <x v="2"/>
  </r>
  <r>
    <x v="498"/>
    <x v="10"/>
    <x v="12"/>
    <x v="392"/>
    <n v="154.4"/>
    <x v="21"/>
    <d v="2025-01-23T00:00:00"/>
    <x v="1"/>
    <x v="0"/>
    <x v="2"/>
    <x v="0"/>
    <x v="22"/>
    <x v="3"/>
    <x v="3"/>
    <x v="1"/>
  </r>
  <r>
    <x v="499"/>
    <x v="8"/>
    <x v="3"/>
    <x v="199"/>
    <n v="231.70000000000002"/>
    <x v="21"/>
    <d v="2025-01-23T00:00:00"/>
    <x v="3"/>
    <x v="4"/>
    <x v="3"/>
    <x v="0"/>
    <x v="3"/>
    <x v="3"/>
    <x v="3"/>
    <x v="3"/>
  </r>
  <r>
    <x v="500"/>
    <x v="10"/>
    <x v="1"/>
    <x v="162"/>
    <n v="61"/>
    <x v="21"/>
    <d v="2025-01-22T00:00:00"/>
    <x v="0"/>
    <x v="1"/>
    <x v="1"/>
    <x v="0"/>
    <x v="3"/>
    <x v="7"/>
    <x v="3"/>
    <x v="0"/>
  </r>
  <r>
    <x v="501"/>
    <x v="9"/>
    <x v="1"/>
    <x v="393"/>
    <n v="139.19999999999999"/>
    <x v="21"/>
    <d v="2025-01-23T00:00:00"/>
    <x v="1"/>
    <x v="0"/>
    <x v="1"/>
    <x v="0"/>
    <x v="3"/>
    <x v="3"/>
    <x v="3"/>
    <x v="1"/>
  </r>
  <r>
    <x v="502"/>
    <x v="11"/>
    <x v="0"/>
    <x v="394"/>
    <n v="42.4"/>
    <x v="21"/>
    <d v="2025-01-26T00:00:00"/>
    <x v="2"/>
    <x v="1"/>
    <x v="0"/>
    <x v="0"/>
    <x v="3"/>
    <x v="5"/>
    <x v="3"/>
    <x v="2"/>
  </r>
  <r>
    <x v="503"/>
    <x v="17"/>
    <x v="0"/>
    <x v="380"/>
    <n v="32.200000000000003"/>
    <x v="21"/>
    <d v="2025-01-25T00:00:00"/>
    <x v="2"/>
    <x v="2"/>
    <x v="1"/>
    <x v="0"/>
    <x v="3"/>
    <x v="2"/>
    <x v="3"/>
    <x v="2"/>
  </r>
  <r>
    <x v="504"/>
    <x v="6"/>
    <x v="1"/>
    <x v="329"/>
    <n v="83"/>
    <x v="21"/>
    <d v="2025-01-25T00:00:00"/>
    <x v="2"/>
    <x v="0"/>
    <x v="2"/>
    <x v="0"/>
    <x v="3"/>
    <x v="2"/>
    <x v="3"/>
    <x v="2"/>
  </r>
  <r>
    <x v="505"/>
    <x v="16"/>
    <x v="11"/>
    <x v="395"/>
    <n v="530.1"/>
    <x v="21"/>
    <d v="2025-01-26T00:00:00"/>
    <x v="2"/>
    <x v="3"/>
    <x v="0"/>
    <x v="0"/>
    <x v="3"/>
    <x v="5"/>
    <x v="3"/>
    <x v="2"/>
  </r>
  <r>
    <x v="506"/>
    <x v="2"/>
    <x v="0"/>
    <x v="140"/>
    <n v="57.1"/>
    <x v="21"/>
    <d v="2025-01-25T00:00:00"/>
    <x v="2"/>
    <x v="1"/>
    <x v="0"/>
    <x v="0"/>
    <x v="3"/>
    <x v="2"/>
    <x v="3"/>
    <x v="2"/>
  </r>
  <r>
    <x v="507"/>
    <x v="6"/>
    <x v="0"/>
    <x v="27"/>
    <n v="57.2"/>
    <x v="21"/>
    <d v="2025-01-24T00:00:00"/>
    <x v="1"/>
    <x v="1"/>
    <x v="0"/>
    <x v="0"/>
    <x v="3"/>
    <x v="1"/>
    <x v="3"/>
    <x v="1"/>
  </r>
  <r>
    <x v="508"/>
    <x v="8"/>
    <x v="1"/>
    <x v="334"/>
    <n v="70.2"/>
    <x v="21"/>
    <d v="2025-01-23T00:00:00"/>
    <x v="1"/>
    <x v="1"/>
    <x v="0"/>
    <x v="0"/>
    <x v="6"/>
    <x v="3"/>
    <x v="3"/>
    <x v="1"/>
  </r>
  <r>
    <x v="509"/>
    <x v="1"/>
    <x v="0"/>
    <x v="184"/>
    <n v="52.1"/>
    <x v="21"/>
    <d v="2025-01-24T00:00:00"/>
    <x v="2"/>
    <x v="4"/>
    <x v="1"/>
    <x v="0"/>
    <x v="8"/>
    <x v="1"/>
    <x v="3"/>
    <x v="2"/>
  </r>
  <r>
    <x v="510"/>
    <x v="13"/>
    <x v="2"/>
    <x v="396"/>
    <n v="179.39999999999998"/>
    <x v="21"/>
    <d v="2025-01-24T00:00:00"/>
    <x v="2"/>
    <x v="4"/>
    <x v="1"/>
    <x v="0"/>
    <x v="8"/>
    <x v="1"/>
    <x v="3"/>
    <x v="2"/>
  </r>
  <r>
    <x v="511"/>
    <x v="3"/>
    <x v="12"/>
    <x v="321"/>
    <n v="333.2"/>
    <x v="21"/>
    <d v="2025-01-22T00:00:00"/>
    <x v="0"/>
    <x v="2"/>
    <x v="0"/>
    <x v="0"/>
    <x v="8"/>
    <x v="7"/>
    <x v="3"/>
    <x v="0"/>
  </r>
  <r>
    <x v="512"/>
    <x v="15"/>
    <x v="4"/>
    <x v="397"/>
    <n v="495.59999999999997"/>
    <x v="21"/>
    <d v="2025-01-23T00:00:00"/>
    <x v="2"/>
    <x v="1"/>
    <x v="0"/>
    <x v="0"/>
    <x v="8"/>
    <x v="3"/>
    <x v="3"/>
    <x v="2"/>
  </r>
  <r>
    <x v="513"/>
    <x v="8"/>
    <x v="9"/>
    <x v="398"/>
    <n v="80"/>
    <x v="21"/>
    <d v="2025-01-24T00:00:00"/>
    <x v="1"/>
    <x v="4"/>
    <x v="1"/>
    <x v="0"/>
    <x v="9"/>
    <x v="1"/>
    <x v="3"/>
    <x v="1"/>
  </r>
  <r>
    <x v="514"/>
    <x v="10"/>
    <x v="1"/>
    <x v="390"/>
    <n v="41.6"/>
    <x v="22"/>
    <d v="2025-01-25T00:00:00"/>
    <x v="1"/>
    <x v="0"/>
    <x v="2"/>
    <x v="0"/>
    <x v="11"/>
    <x v="1"/>
    <x v="3"/>
    <x v="1"/>
  </r>
  <r>
    <x v="515"/>
    <x v="8"/>
    <x v="31"/>
    <x v="399"/>
    <n v="758.80000000000007"/>
    <x v="22"/>
    <d v="2025-01-24T00:00:00"/>
    <x v="0"/>
    <x v="3"/>
    <x v="2"/>
    <x v="0"/>
    <x v="11"/>
    <x v="3"/>
    <x v="3"/>
    <x v="0"/>
  </r>
  <r>
    <x v="516"/>
    <x v="10"/>
    <x v="1"/>
    <x v="400"/>
    <n v="77.8"/>
    <x v="22"/>
    <d v="2025-01-25T00:00:00"/>
    <x v="2"/>
    <x v="0"/>
    <x v="0"/>
    <x v="0"/>
    <x v="18"/>
    <x v="1"/>
    <x v="3"/>
    <x v="2"/>
  </r>
  <r>
    <x v="517"/>
    <x v="0"/>
    <x v="1"/>
    <x v="401"/>
    <n v="21.6"/>
    <x v="22"/>
    <d v="2025-01-26T00:00:00"/>
    <x v="2"/>
    <x v="1"/>
    <x v="2"/>
    <x v="0"/>
    <x v="45"/>
    <x v="2"/>
    <x v="3"/>
    <x v="2"/>
  </r>
  <r>
    <x v="518"/>
    <x v="4"/>
    <x v="15"/>
    <x v="72"/>
    <n v="629.19999999999993"/>
    <x v="22"/>
    <d v="2025-01-27T00:00:00"/>
    <x v="2"/>
    <x v="0"/>
    <x v="0"/>
    <x v="0"/>
    <x v="21"/>
    <x v="5"/>
    <x v="3"/>
    <x v="2"/>
  </r>
  <r>
    <x v="519"/>
    <x v="4"/>
    <x v="2"/>
    <x v="402"/>
    <n v="87.6"/>
    <x v="22"/>
    <d v="2025-01-26T00:00:00"/>
    <x v="2"/>
    <x v="1"/>
    <x v="1"/>
    <x v="0"/>
    <x v="2"/>
    <x v="2"/>
    <x v="3"/>
    <x v="2"/>
  </r>
  <r>
    <x v="520"/>
    <x v="4"/>
    <x v="1"/>
    <x v="403"/>
    <n v="50.2"/>
    <x v="22"/>
    <d v="2025-01-24T00:00:00"/>
    <x v="1"/>
    <x v="0"/>
    <x v="1"/>
    <x v="0"/>
    <x v="2"/>
    <x v="3"/>
    <x v="3"/>
    <x v="1"/>
  </r>
  <r>
    <x v="521"/>
    <x v="7"/>
    <x v="2"/>
    <x v="404"/>
    <n v="196.79999999999998"/>
    <x v="22"/>
    <d v="2025-01-23T00:00:00"/>
    <x v="2"/>
    <x v="2"/>
    <x v="1"/>
    <x v="0"/>
    <x v="3"/>
    <x v="7"/>
    <x v="3"/>
    <x v="2"/>
  </r>
  <r>
    <x v="522"/>
    <x v="2"/>
    <x v="1"/>
    <x v="405"/>
    <n v="114.6"/>
    <x v="22"/>
    <d v="2025-01-23T00:00:00"/>
    <x v="0"/>
    <x v="0"/>
    <x v="0"/>
    <x v="0"/>
    <x v="3"/>
    <x v="7"/>
    <x v="3"/>
    <x v="0"/>
  </r>
  <r>
    <x v="523"/>
    <x v="9"/>
    <x v="12"/>
    <x v="9"/>
    <n v="89.6"/>
    <x v="22"/>
    <d v="2025-01-24T00:00:00"/>
    <x v="2"/>
    <x v="2"/>
    <x v="2"/>
    <x v="0"/>
    <x v="3"/>
    <x v="3"/>
    <x v="3"/>
    <x v="2"/>
  </r>
  <r>
    <x v="524"/>
    <x v="12"/>
    <x v="11"/>
    <x v="108"/>
    <n v="411.3"/>
    <x v="22"/>
    <d v="2025-01-24T00:00:00"/>
    <x v="2"/>
    <x v="0"/>
    <x v="0"/>
    <x v="0"/>
    <x v="3"/>
    <x v="3"/>
    <x v="3"/>
    <x v="2"/>
  </r>
  <r>
    <x v="525"/>
    <x v="8"/>
    <x v="1"/>
    <x v="143"/>
    <n v="58.6"/>
    <x v="22"/>
    <d v="2025-01-24T00:00:00"/>
    <x v="1"/>
    <x v="1"/>
    <x v="0"/>
    <x v="0"/>
    <x v="3"/>
    <x v="3"/>
    <x v="3"/>
    <x v="1"/>
  </r>
  <r>
    <x v="526"/>
    <x v="18"/>
    <x v="32"/>
    <x v="326"/>
    <n v="1628"/>
    <x v="22"/>
    <d v="2025-01-24T00:00:00"/>
    <x v="1"/>
    <x v="0"/>
    <x v="2"/>
    <x v="0"/>
    <x v="3"/>
    <x v="3"/>
    <x v="3"/>
    <x v="1"/>
  </r>
  <r>
    <x v="527"/>
    <x v="14"/>
    <x v="1"/>
    <x v="406"/>
    <n v="78.400000000000006"/>
    <x v="22"/>
    <d v="2025-01-25T00:00:00"/>
    <x v="2"/>
    <x v="1"/>
    <x v="0"/>
    <x v="0"/>
    <x v="3"/>
    <x v="1"/>
    <x v="3"/>
    <x v="2"/>
  </r>
  <r>
    <x v="528"/>
    <x v="4"/>
    <x v="14"/>
    <x v="407"/>
    <n v="1065.9000000000001"/>
    <x v="22"/>
    <d v="2025-01-24T00:00:00"/>
    <x v="2"/>
    <x v="2"/>
    <x v="1"/>
    <x v="0"/>
    <x v="3"/>
    <x v="3"/>
    <x v="3"/>
    <x v="2"/>
  </r>
  <r>
    <x v="529"/>
    <x v="10"/>
    <x v="1"/>
    <x v="110"/>
    <n v="120.2"/>
    <x v="22"/>
    <d v="2025-01-24T00:00:00"/>
    <x v="2"/>
    <x v="3"/>
    <x v="0"/>
    <x v="0"/>
    <x v="3"/>
    <x v="3"/>
    <x v="3"/>
    <x v="2"/>
  </r>
  <r>
    <x v="530"/>
    <x v="0"/>
    <x v="12"/>
    <x v="408"/>
    <n v="44.8"/>
    <x v="22"/>
    <d v="2025-01-24T00:00:00"/>
    <x v="2"/>
    <x v="3"/>
    <x v="1"/>
    <x v="0"/>
    <x v="3"/>
    <x v="3"/>
    <x v="3"/>
    <x v="2"/>
  </r>
  <r>
    <x v="531"/>
    <x v="8"/>
    <x v="1"/>
    <x v="409"/>
    <n v="45.8"/>
    <x v="22"/>
    <d v="2025-01-24T00:00:00"/>
    <x v="2"/>
    <x v="0"/>
    <x v="0"/>
    <x v="0"/>
    <x v="6"/>
    <x v="3"/>
    <x v="3"/>
    <x v="2"/>
  </r>
  <r>
    <x v="532"/>
    <x v="1"/>
    <x v="1"/>
    <x v="410"/>
    <n v="75.2"/>
    <x v="22"/>
    <d v="2025-01-26T00:00:00"/>
    <x v="2"/>
    <x v="0"/>
    <x v="0"/>
    <x v="0"/>
    <x v="6"/>
    <x v="2"/>
    <x v="3"/>
    <x v="2"/>
  </r>
  <r>
    <x v="533"/>
    <x v="6"/>
    <x v="0"/>
    <x v="394"/>
    <n v="42.4"/>
    <x v="22"/>
    <d v="2025-01-24T00:00:00"/>
    <x v="2"/>
    <x v="3"/>
    <x v="2"/>
    <x v="0"/>
    <x v="6"/>
    <x v="3"/>
    <x v="3"/>
    <x v="2"/>
  </r>
  <r>
    <x v="534"/>
    <x v="8"/>
    <x v="1"/>
    <x v="266"/>
    <n v="39.200000000000003"/>
    <x v="22"/>
    <d v="2025-01-27T00:00:00"/>
    <x v="2"/>
    <x v="2"/>
    <x v="0"/>
    <x v="0"/>
    <x v="7"/>
    <x v="5"/>
    <x v="3"/>
    <x v="2"/>
  </r>
  <r>
    <x v="535"/>
    <x v="9"/>
    <x v="0"/>
    <x v="411"/>
    <n v="90.5"/>
    <x v="22"/>
    <d v="2025-01-26T00:00:00"/>
    <x v="2"/>
    <x v="2"/>
    <x v="0"/>
    <x v="0"/>
    <x v="7"/>
    <x v="2"/>
    <x v="3"/>
    <x v="2"/>
  </r>
  <r>
    <x v="536"/>
    <x v="16"/>
    <x v="5"/>
    <x v="412"/>
    <n v="372.9"/>
    <x v="22"/>
    <d v="2025-01-24T00:00:00"/>
    <x v="1"/>
    <x v="2"/>
    <x v="1"/>
    <x v="0"/>
    <x v="7"/>
    <x v="3"/>
    <x v="3"/>
    <x v="1"/>
  </r>
  <r>
    <x v="537"/>
    <x v="0"/>
    <x v="1"/>
    <x v="413"/>
    <n v="65.599999999999994"/>
    <x v="22"/>
    <d v="2025-01-25T00:00:00"/>
    <x v="2"/>
    <x v="4"/>
    <x v="4"/>
    <x v="0"/>
    <x v="8"/>
    <x v="1"/>
    <x v="3"/>
    <x v="2"/>
  </r>
  <r>
    <x v="538"/>
    <x v="15"/>
    <x v="0"/>
    <x v="308"/>
    <n v="49.9"/>
    <x v="22"/>
    <d v="2025-01-24T00:00:00"/>
    <x v="1"/>
    <x v="3"/>
    <x v="1"/>
    <x v="0"/>
    <x v="8"/>
    <x v="3"/>
    <x v="3"/>
    <x v="1"/>
  </r>
  <r>
    <x v="539"/>
    <x v="7"/>
    <x v="9"/>
    <x v="414"/>
    <n v="396"/>
    <x v="22"/>
    <d v="2025-01-24T00:00:00"/>
    <x v="2"/>
    <x v="4"/>
    <x v="0"/>
    <x v="0"/>
    <x v="8"/>
    <x v="3"/>
    <x v="3"/>
    <x v="2"/>
  </r>
  <r>
    <x v="540"/>
    <x v="8"/>
    <x v="27"/>
    <x v="415"/>
    <n v="312"/>
    <x v="22"/>
    <d v="2025-01-25T00:00:00"/>
    <x v="1"/>
    <x v="3"/>
    <x v="2"/>
    <x v="0"/>
    <x v="8"/>
    <x v="1"/>
    <x v="3"/>
    <x v="1"/>
  </r>
  <r>
    <x v="541"/>
    <x v="8"/>
    <x v="12"/>
    <x v="53"/>
    <n v="72"/>
    <x v="22"/>
    <d v="2025-01-24T00:00:00"/>
    <x v="1"/>
    <x v="1"/>
    <x v="0"/>
    <x v="0"/>
    <x v="10"/>
    <x v="3"/>
    <x v="3"/>
    <x v="1"/>
  </r>
  <r>
    <x v="542"/>
    <x v="9"/>
    <x v="2"/>
    <x v="206"/>
    <n v="137.69999999999999"/>
    <x v="22"/>
    <d v="2025-01-25T00:00:00"/>
    <x v="2"/>
    <x v="1"/>
    <x v="1"/>
    <x v="0"/>
    <x v="10"/>
    <x v="1"/>
    <x v="3"/>
    <x v="2"/>
  </r>
  <r>
    <x v="543"/>
    <x v="11"/>
    <x v="0"/>
    <x v="387"/>
    <n v="41.2"/>
    <x v="22"/>
    <d v="2025-01-25T00:00:00"/>
    <x v="2"/>
    <x v="1"/>
    <x v="2"/>
    <x v="0"/>
    <x v="11"/>
    <x v="1"/>
    <x v="3"/>
    <x v="2"/>
  </r>
  <r>
    <x v="544"/>
    <x v="2"/>
    <x v="7"/>
    <x v="416"/>
    <n v="1672"/>
    <x v="22"/>
    <d v="2025-01-25T00:00:00"/>
    <x v="2"/>
    <x v="2"/>
    <x v="2"/>
    <x v="0"/>
    <x v="32"/>
    <x v="1"/>
    <x v="3"/>
    <x v="2"/>
  </r>
  <r>
    <x v="545"/>
    <x v="6"/>
    <x v="17"/>
    <x v="417"/>
    <n v="2235"/>
    <x v="23"/>
    <d v="2025-01-27T00:00:00"/>
    <x v="2"/>
    <x v="1"/>
    <x v="2"/>
    <x v="0"/>
    <x v="38"/>
    <x v="2"/>
    <x v="3"/>
    <x v="2"/>
  </r>
  <r>
    <x v="546"/>
    <x v="7"/>
    <x v="12"/>
    <x v="418"/>
    <n v="157.19999999999999"/>
    <x v="23"/>
    <d v="2025-01-25T00:00:00"/>
    <x v="0"/>
    <x v="2"/>
    <x v="0"/>
    <x v="0"/>
    <x v="19"/>
    <x v="3"/>
    <x v="3"/>
    <x v="0"/>
  </r>
  <r>
    <x v="547"/>
    <x v="9"/>
    <x v="0"/>
    <x v="419"/>
    <n v="68.5"/>
    <x v="23"/>
    <d v="2025-01-27T00:00:00"/>
    <x v="1"/>
    <x v="1"/>
    <x v="2"/>
    <x v="0"/>
    <x v="12"/>
    <x v="2"/>
    <x v="3"/>
    <x v="1"/>
  </r>
  <r>
    <x v="548"/>
    <x v="0"/>
    <x v="2"/>
    <x v="243"/>
    <n v="67.5"/>
    <x v="23"/>
    <d v="2025-01-24T00:00:00"/>
    <x v="2"/>
    <x v="4"/>
    <x v="0"/>
    <x v="0"/>
    <x v="13"/>
    <x v="7"/>
    <x v="3"/>
    <x v="2"/>
  </r>
  <r>
    <x v="549"/>
    <x v="1"/>
    <x v="0"/>
    <x v="196"/>
    <n v="48"/>
    <x v="23"/>
    <d v="2025-01-25T00:00:00"/>
    <x v="3"/>
    <x v="4"/>
    <x v="1"/>
    <x v="0"/>
    <x v="46"/>
    <x v="3"/>
    <x v="3"/>
    <x v="3"/>
  </r>
  <r>
    <x v="550"/>
    <x v="6"/>
    <x v="0"/>
    <x v="420"/>
    <n v="94"/>
    <x v="23"/>
    <d v="2025-01-25T00:00:00"/>
    <x v="1"/>
    <x v="3"/>
    <x v="1"/>
    <x v="0"/>
    <x v="1"/>
    <x v="3"/>
    <x v="3"/>
    <x v="1"/>
  </r>
  <r>
    <x v="551"/>
    <x v="8"/>
    <x v="2"/>
    <x v="421"/>
    <n v="65.699999999999989"/>
    <x v="23"/>
    <d v="2025-01-25T00:00:00"/>
    <x v="2"/>
    <x v="0"/>
    <x v="0"/>
    <x v="0"/>
    <x v="44"/>
    <x v="3"/>
    <x v="3"/>
    <x v="2"/>
  </r>
  <r>
    <x v="552"/>
    <x v="6"/>
    <x v="3"/>
    <x v="92"/>
    <n v="454.30000000000007"/>
    <x v="23"/>
    <d v="2025-01-25T00:00:00"/>
    <x v="2"/>
    <x v="0"/>
    <x v="0"/>
    <x v="0"/>
    <x v="3"/>
    <x v="3"/>
    <x v="3"/>
    <x v="2"/>
  </r>
  <r>
    <x v="553"/>
    <x v="12"/>
    <x v="0"/>
    <x v="422"/>
    <n v="52.9"/>
    <x v="23"/>
    <d v="2025-01-24T00:00:00"/>
    <x v="2"/>
    <x v="1"/>
    <x v="1"/>
    <x v="0"/>
    <x v="3"/>
    <x v="7"/>
    <x v="3"/>
    <x v="2"/>
  </r>
  <r>
    <x v="554"/>
    <x v="8"/>
    <x v="2"/>
    <x v="423"/>
    <n v="76.5"/>
    <x v="23"/>
    <d v="2025-01-25T00:00:00"/>
    <x v="2"/>
    <x v="1"/>
    <x v="2"/>
    <x v="0"/>
    <x v="3"/>
    <x v="3"/>
    <x v="3"/>
    <x v="2"/>
  </r>
  <r>
    <x v="555"/>
    <x v="6"/>
    <x v="2"/>
    <x v="424"/>
    <n v="155.69999999999999"/>
    <x v="23"/>
    <d v="2025-01-25T00:00:00"/>
    <x v="2"/>
    <x v="3"/>
    <x v="0"/>
    <x v="0"/>
    <x v="3"/>
    <x v="3"/>
    <x v="3"/>
    <x v="2"/>
  </r>
  <r>
    <x v="556"/>
    <x v="5"/>
    <x v="0"/>
    <x v="425"/>
    <n v="46.3"/>
    <x v="23"/>
    <d v="2025-01-27T00:00:00"/>
    <x v="2"/>
    <x v="4"/>
    <x v="0"/>
    <x v="0"/>
    <x v="3"/>
    <x v="2"/>
    <x v="3"/>
    <x v="2"/>
  </r>
  <r>
    <x v="557"/>
    <x v="6"/>
    <x v="1"/>
    <x v="197"/>
    <n v="136.4"/>
    <x v="23"/>
    <d v="2025-01-26T00:00:00"/>
    <x v="2"/>
    <x v="3"/>
    <x v="0"/>
    <x v="0"/>
    <x v="3"/>
    <x v="1"/>
    <x v="3"/>
    <x v="2"/>
  </r>
  <r>
    <x v="558"/>
    <x v="1"/>
    <x v="0"/>
    <x v="7"/>
    <n v="40.299999999999997"/>
    <x v="23"/>
    <d v="2025-01-25T00:00:00"/>
    <x v="1"/>
    <x v="0"/>
    <x v="1"/>
    <x v="0"/>
    <x v="3"/>
    <x v="3"/>
    <x v="3"/>
    <x v="1"/>
  </r>
  <r>
    <x v="559"/>
    <x v="2"/>
    <x v="2"/>
    <x v="54"/>
    <n v="273.89999999999998"/>
    <x v="23"/>
    <d v="2025-01-29T00:00:00"/>
    <x v="1"/>
    <x v="0"/>
    <x v="2"/>
    <x v="0"/>
    <x v="6"/>
    <x v="0"/>
    <x v="3"/>
    <x v="1"/>
  </r>
  <r>
    <x v="560"/>
    <x v="0"/>
    <x v="2"/>
    <x v="426"/>
    <n v="35.700000000000003"/>
    <x v="23"/>
    <d v="2025-01-25T00:00:00"/>
    <x v="2"/>
    <x v="0"/>
    <x v="1"/>
    <x v="0"/>
    <x v="6"/>
    <x v="3"/>
    <x v="3"/>
    <x v="2"/>
  </r>
  <r>
    <x v="561"/>
    <x v="2"/>
    <x v="1"/>
    <x v="427"/>
    <n v="127"/>
    <x v="23"/>
    <d v="2025-01-26T00:00:00"/>
    <x v="1"/>
    <x v="1"/>
    <x v="0"/>
    <x v="0"/>
    <x v="6"/>
    <x v="1"/>
    <x v="3"/>
    <x v="1"/>
  </r>
  <r>
    <x v="562"/>
    <x v="4"/>
    <x v="1"/>
    <x v="399"/>
    <n v="54.2"/>
    <x v="23"/>
    <d v="2025-01-27T00:00:00"/>
    <x v="1"/>
    <x v="2"/>
    <x v="2"/>
    <x v="0"/>
    <x v="6"/>
    <x v="2"/>
    <x v="3"/>
    <x v="1"/>
  </r>
  <r>
    <x v="563"/>
    <x v="1"/>
    <x v="1"/>
    <x v="428"/>
    <n v="164.2"/>
    <x v="24"/>
    <d v="2025-01-28T00:00:00"/>
    <x v="1"/>
    <x v="1"/>
    <x v="1"/>
    <x v="0"/>
    <x v="7"/>
    <x v="2"/>
    <x v="3"/>
    <x v="1"/>
  </r>
  <r>
    <x v="564"/>
    <x v="3"/>
    <x v="9"/>
    <x v="429"/>
    <n v="214.5"/>
    <x v="24"/>
    <d v="2025-01-27T00:00:00"/>
    <x v="2"/>
    <x v="1"/>
    <x v="0"/>
    <x v="0"/>
    <x v="8"/>
    <x v="1"/>
    <x v="3"/>
    <x v="2"/>
  </r>
  <r>
    <x v="565"/>
    <x v="8"/>
    <x v="5"/>
    <x v="430"/>
    <n v="416.9"/>
    <x v="24"/>
    <d v="2025-02-01T00:00:00"/>
    <x v="1"/>
    <x v="0"/>
    <x v="0"/>
    <x v="0"/>
    <x v="8"/>
    <x v="6"/>
    <x v="3"/>
    <x v="1"/>
  </r>
  <r>
    <x v="566"/>
    <x v="0"/>
    <x v="0"/>
    <x v="9"/>
    <n v="22.4"/>
    <x v="24"/>
    <d v="2025-01-26T00:00:00"/>
    <x v="2"/>
    <x v="0"/>
    <x v="1"/>
    <x v="0"/>
    <x v="17"/>
    <x v="3"/>
    <x v="3"/>
    <x v="2"/>
  </r>
  <r>
    <x v="567"/>
    <x v="2"/>
    <x v="15"/>
    <x v="22"/>
    <n v="1038.7"/>
    <x v="24"/>
    <d v="2025-02-07T00:00:00"/>
    <x v="2"/>
    <x v="3"/>
    <x v="1"/>
    <x v="0"/>
    <x v="11"/>
    <x v="10"/>
    <x v="3"/>
    <x v="2"/>
  </r>
  <r>
    <x v="568"/>
    <x v="1"/>
    <x v="0"/>
    <x v="431"/>
    <n v="70.599999999999994"/>
    <x v="24"/>
    <d v="2025-01-28T00:00:00"/>
    <x v="2"/>
    <x v="0"/>
    <x v="1"/>
    <x v="0"/>
    <x v="11"/>
    <x v="2"/>
    <x v="3"/>
    <x v="2"/>
  </r>
  <r>
    <x v="569"/>
    <x v="6"/>
    <x v="0"/>
    <x v="432"/>
    <n v="49.5"/>
    <x v="24"/>
    <d v="2025-01-27T00:00:00"/>
    <x v="1"/>
    <x v="0"/>
    <x v="0"/>
    <x v="0"/>
    <x v="13"/>
    <x v="1"/>
    <x v="3"/>
    <x v="1"/>
  </r>
  <r>
    <x v="570"/>
    <x v="2"/>
    <x v="1"/>
    <x v="433"/>
    <n v="193.2"/>
    <x v="24"/>
    <d v="2025-01-27T00:00:00"/>
    <x v="1"/>
    <x v="0"/>
    <x v="0"/>
    <x v="0"/>
    <x v="21"/>
    <x v="1"/>
    <x v="3"/>
    <x v="1"/>
  </r>
  <r>
    <x v="571"/>
    <x v="6"/>
    <x v="1"/>
    <x v="434"/>
    <n v="105.6"/>
    <x v="24"/>
    <d v="2025-01-26T00:00:00"/>
    <x v="2"/>
    <x v="1"/>
    <x v="1"/>
    <x v="0"/>
    <x v="21"/>
    <x v="3"/>
    <x v="3"/>
    <x v="2"/>
  </r>
  <r>
    <x v="572"/>
    <x v="2"/>
    <x v="0"/>
    <x v="435"/>
    <n v="101.7"/>
    <x v="24"/>
    <d v="2025-01-26T00:00:00"/>
    <x v="1"/>
    <x v="0"/>
    <x v="0"/>
    <x v="0"/>
    <x v="1"/>
    <x v="3"/>
    <x v="3"/>
    <x v="1"/>
  </r>
  <r>
    <x v="573"/>
    <x v="4"/>
    <x v="9"/>
    <x v="436"/>
    <n v="134.5"/>
    <x v="24"/>
    <d v="2025-01-30T00:00:00"/>
    <x v="2"/>
    <x v="1"/>
    <x v="1"/>
    <x v="0"/>
    <x v="22"/>
    <x v="0"/>
    <x v="3"/>
    <x v="2"/>
  </r>
  <r>
    <x v="574"/>
    <x v="2"/>
    <x v="12"/>
    <x v="437"/>
    <n v="844"/>
    <x v="24"/>
    <d v="2025-01-25T00:00:00"/>
    <x v="2"/>
    <x v="1"/>
    <x v="1"/>
    <x v="0"/>
    <x v="3"/>
    <x v="7"/>
    <x v="3"/>
    <x v="2"/>
  </r>
  <r>
    <x v="575"/>
    <x v="0"/>
    <x v="12"/>
    <x v="438"/>
    <n v="84.4"/>
    <x v="24"/>
    <d v="2025-01-28T00:00:00"/>
    <x v="1"/>
    <x v="4"/>
    <x v="0"/>
    <x v="0"/>
    <x v="3"/>
    <x v="2"/>
    <x v="3"/>
    <x v="1"/>
  </r>
  <r>
    <x v="576"/>
    <x v="10"/>
    <x v="0"/>
    <x v="439"/>
    <n v="26.6"/>
    <x v="24"/>
    <d v="2025-01-27T00:00:00"/>
    <x v="1"/>
    <x v="0"/>
    <x v="4"/>
    <x v="0"/>
    <x v="3"/>
    <x v="1"/>
    <x v="3"/>
    <x v="1"/>
  </r>
  <r>
    <x v="577"/>
    <x v="12"/>
    <x v="12"/>
    <x v="440"/>
    <n v="204.8"/>
    <x v="24"/>
    <d v="2025-01-26T00:00:00"/>
    <x v="2"/>
    <x v="3"/>
    <x v="0"/>
    <x v="0"/>
    <x v="47"/>
    <x v="3"/>
    <x v="3"/>
    <x v="2"/>
  </r>
  <r>
    <x v="578"/>
    <x v="0"/>
    <x v="9"/>
    <x v="441"/>
    <n v="53"/>
    <x v="24"/>
    <d v="2025-01-29T00:00:00"/>
    <x v="2"/>
    <x v="0"/>
    <x v="0"/>
    <x v="0"/>
    <x v="8"/>
    <x v="5"/>
    <x v="3"/>
    <x v="2"/>
  </r>
  <r>
    <x v="579"/>
    <x v="6"/>
    <x v="2"/>
    <x v="171"/>
    <n v="130.19999999999999"/>
    <x v="24"/>
    <d v="2025-01-28T00:00:00"/>
    <x v="2"/>
    <x v="4"/>
    <x v="0"/>
    <x v="0"/>
    <x v="8"/>
    <x v="2"/>
    <x v="3"/>
    <x v="2"/>
  </r>
  <r>
    <x v="580"/>
    <x v="12"/>
    <x v="0"/>
    <x v="442"/>
    <n v="80"/>
    <x v="24"/>
    <d v="2025-01-25T00:00:00"/>
    <x v="2"/>
    <x v="0"/>
    <x v="2"/>
    <x v="0"/>
    <x v="8"/>
    <x v="7"/>
    <x v="3"/>
    <x v="2"/>
  </r>
  <r>
    <x v="581"/>
    <x v="10"/>
    <x v="12"/>
    <x v="337"/>
    <n v="258.8"/>
    <x v="24"/>
    <d v="2025-01-27T00:00:00"/>
    <x v="2"/>
    <x v="1"/>
    <x v="4"/>
    <x v="0"/>
    <x v="8"/>
    <x v="1"/>
    <x v="3"/>
    <x v="2"/>
  </r>
  <r>
    <x v="582"/>
    <x v="8"/>
    <x v="5"/>
    <x v="133"/>
    <n v="289.3"/>
    <x v="25"/>
    <d v="2025-01-26T00:00:00"/>
    <x v="2"/>
    <x v="4"/>
    <x v="1"/>
    <x v="0"/>
    <x v="26"/>
    <x v="7"/>
    <x v="4"/>
    <x v="2"/>
  </r>
  <r>
    <x v="583"/>
    <x v="10"/>
    <x v="0"/>
    <x v="365"/>
    <n v="28.5"/>
    <x v="25"/>
    <d v="2025-01-26T00:00:00"/>
    <x v="1"/>
    <x v="0"/>
    <x v="1"/>
    <x v="0"/>
    <x v="9"/>
    <x v="7"/>
    <x v="4"/>
    <x v="1"/>
  </r>
  <r>
    <x v="584"/>
    <x v="17"/>
    <x v="0"/>
    <x v="134"/>
    <n v="47.8"/>
    <x v="25"/>
    <d v="2025-01-28T00:00:00"/>
    <x v="2"/>
    <x v="0"/>
    <x v="1"/>
    <x v="0"/>
    <x v="9"/>
    <x v="1"/>
    <x v="4"/>
    <x v="2"/>
  </r>
  <r>
    <x v="585"/>
    <x v="10"/>
    <x v="2"/>
    <x v="443"/>
    <n v="128.39999999999998"/>
    <x v="25"/>
    <d v="2025-01-29T00:00:00"/>
    <x v="2"/>
    <x v="4"/>
    <x v="1"/>
    <x v="0"/>
    <x v="11"/>
    <x v="2"/>
    <x v="4"/>
    <x v="2"/>
  </r>
  <r>
    <x v="586"/>
    <x v="6"/>
    <x v="9"/>
    <x v="84"/>
    <n v="234"/>
    <x v="25"/>
    <d v="2025-01-31T00:00:00"/>
    <x v="2"/>
    <x v="1"/>
    <x v="2"/>
    <x v="0"/>
    <x v="11"/>
    <x v="0"/>
    <x v="4"/>
    <x v="2"/>
  </r>
  <r>
    <x v="587"/>
    <x v="1"/>
    <x v="7"/>
    <x v="444"/>
    <n v="641"/>
    <x v="25"/>
    <d v="2025-01-27T00:00:00"/>
    <x v="1"/>
    <x v="1"/>
    <x v="0"/>
    <x v="0"/>
    <x v="11"/>
    <x v="3"/>
    <x v="4"/>
    <x v="1"/>
  </r>
  <r>
    <x v="588"/>
    <x v="2"/>
    <x v="0"/>
    <x v="66"/>
    <n v="89.1"/>
    <x v="25"/>
    <d v="2025-01-27T00:00:00"/>
    <x v="2"/>
    <x v="0"/>
    <x v="1"/>
    <x v="0"/>
    <x v="20"/>
    <x v="3"/>
    <x v="4"/>
    <x v="2"/>
  </r>
  <r>
    <x v="589"/>
    <x v="2"/>
    <x v="2"/>
    <x v="445"/>
    <n v="249.29999999999998"/>
    <x v="25"/>
    <d v="2025-01-27T00:00:00"/>
    <x v="2"/>
    <x v="2"/>
    <x v="1"/>
    <x v="0"/>
    <x v="13"/>
    <x v="3"/>
    <x v="4"/>
    <x v="2"/>
  </r>
  <r>
    <x v="590"/>
    <x v="8"/>
    <x v="2"/>
    <x v="446"/>
    <n v="122.69999999999999"/>
    <x v="25"/>
    <d v="2025-01-27T00:00:00"/>
    <x v="1"/>
    <x v="0"/>
    <x v="0"/>
    <x v="0"/>
    <x v="1"/>
    <x v="3"/>
    <x v="4"/>
    <x v="1"/>
  </r>
  <r>
    <x v="591"/>
    <x v="2"/>
    <x v="1"/>
    <x v="447"/>
    <n v="251.4"/>
    <x v="25"/>
    <d v="2025-01-27T00:00:00"/>
    <x v="2"/>
    <x v="3"/>
    <x v="0"/>
    <x v="0"/>
    <x v="2"/>
    <x v="3"/>
    <x v="4"/>
    <x v="2"/>
  </r>
  <r>
    <x v="592"/>
    <x v="3"/>
    <x v="1"/>
    <x v="15"/>
    <n v="61.8"/>
    <x v="25"/>
    <d v="2025-01-26T00:00:00"/>
    <x v="2"/>
    <x v="2"/>
    <x v="2"/>
    <x v="0"/>
    <x v="22"/>
    <x v="7"/>
    <x v="4"/>
    <x v="2"/>
  </r>
  <r>
    <x v="593"/>
    <x v="8"/>
    <x v="1"/>
    <x v="383"/>
    <n v="36.6"/>
    <x v="25"/>
    <d v="2025-01-27T00:00:00"/>
    <x v="2"/>
    <x v="1"/>
    <x v="0"/>
    <x v="0"/>
    <x v="3"/>
    <x v="3"/>
    <x v="4"/>
    <x v="2"/>
  </r>
  <r>
    <x v="594"/>
    <x v="4"/>
    <x v="1"/>
    <x v="448"/>
    <n v="113"/>
    <x v="25"/>
    <d v="2025-01-30T00:00:00"/>
    <x v="1"/>
    <x v="2"/>
    <x v="2"/>
    <x v="0"/>
    <x v="3"/>
    <x v="5"/>
    <x v="4"/>
    <x v="1"/>
  </r>
  <r>
    <x v="595"/>
    <x v="10"/>
    <x v="3"/>
    <x v="32"/>
    <n v="209.29999999999998"/>
    <x v="25"/>
    <d v="2025-01-28T00:00:00"/>
    <x v="1"/>
    <x v="4"/>
    <x v="2"/>
    <x v="0"/>
    <x v="3"/>
    <x v="1"/>
    <x v="4"/>
    <x v="1"/>
  </r>
  <r>
    <x v="596"/>
    <x v="5"/>
    <x v="1"/>
    <x v="88"/>
    <n v="100.8"/>
    <x v="25"/>
    <d v="2025-01-27T00:00:00"/>
    <x v="2"/>
    <x v="2"/>
    <x v="0"/>
    <x v="0"/>
    <x v="3"/>
    <x v="3"/>
    <x v="4"/>
    <x v="2"/>
  </r>
  <r>
    <x v="597"/>
    <x v="2"/>
    <x v="0"/>
    <x v="449"/>
    <n v="85.8"/>
    <x v="25"/>
    <d v="2025-01-26T00:00:00"/>
    <x v="2"/>
    <x v="2"/>
    <x v="2"/>
    <x v="0"/>
    <x v="3"/>
    <x v="7"/>
    <x v="4"/>
    <x v="2"/>
  </r>
  <r>
    <x v="598"/>
    <x v="4"/>
    <x v="27"/>
    <x v="450"/>
    <n v="1065.5999999999999"/>
    <x v="25"/>
    <d v="2025-01-28T00:00:00"/>
    <x v="1"/>
    <x v="1"/>
    <x v="0"/>
    <x v="0"/>
    <x v="3"/>
    <x v="1"/>
    <x v="4"/>
    <x v="1"/>
  </r>
  <r>
    <x v="599"/>
    <x v="6"/>
    <x v="12"/>
    <x v="451"/>
    <n v="281.2"/>
    <x v="25"/>
    <d v="2025-01-27T00:00:00"/>
    <x v="2"/>
    <x v="0"/>
    <x v="1"/>
    <x v="0"/>
    <x v="3"/>
    <x v="3"/>
    <x v="4"/>
    <x v="2"/>
  </r>
  <r>
    <x v="600"/>
    <x v="8"/>
    <x v="12"/>
    <x v="452"/>
    <n v="124"/>
    <x v="25"/>
    <d v="2025-01-29T00:00:00"/>
    <x v="1"/>
    <x v="0"/>
    <x v="2"/>
    <x v="0"/>
    <x v="3"/>
    <x v="2"/>
    <x v="4"/>
    <x v="1"/>
  </r>
  <r>
    <x v="601"/>
    <x v="7"/>
    <x v="13"/>
    <x v="453"/>
    <n v="489.59999999999997"/>
    <x v="25"/>
    <d v="2025-01-27T00:00:00"/>
    <x v="2"/>
    <x v="1"/>
    <x v="1"/>
    <x v="0"/>
    <x v="37"/>
    <x v="3"/>
    <x v="4"/>
    <x v="2"/>
  </r>
  <r>
    <x v="602"/>
    <x v="1"/>
    <x v="30"/>
    <x v="207"/>
    <n v="1457.5"/>
    <x v="25"/>
    <d v="2025-01-27T00:00:00"/>
    <x v="2"/>
    <x v="0"/>
    <x v="0"/>
    <x v="0"/>
    <x v="16"/>
    <x v="3"/>
    <x v="4"/>
    <x v="2"/>
  </r>
  <r>
    <x v="603"/>
    <x v="1"/>
    <x v="12"/>
    <x v="334"/>
    <n v="140.4"/>
    <x v="25"/>
    <d v="2025-01-28T00:00:00"/>
    <x v="1"/>
    <x v="0"/>
    <x v="2"/>
    <x v="0"/>
    <x v="8"/>
    <x v="1"/>
    <x v="4"/>
    <x v="1"/>
  </r>
  <r>
    <x v="604"/>
    <x v="2"/>
    <x v="0"/>
    <x v="454"/>
    <n v="80.2"/>
    <x v="25"/>
    <d v="2025-01-27T00:00:00"/>
    <x v="1"/>
    <x v="3"/>
    <x v="2"/>
    <x v="0"/>
    <x v="8"/>
    <x v="3"/>
    <x v="4"/>
    <x v="1"/>
  </r>
  <r>
    <x v="605"/>
    <x v="14"/>
    <x v="2"/>
    <x v="406"/>
    <n v="117.60000000000001"/>
    <x v="25"/>
    <d v="2025-01-28T00:00:00"/>
    <x v="2"/>
    <x v="1"/>
    <x v="0"/>
    <x v="0"/>
    <x v="9"/>
    <x v="1"/>
    <x v="4"/>
    <x v="2"/>
  </r>
  <r>
    <x v="606"/>
    <x v="0"/>
    <x v="1"/>
    <x v="455"/>
    <n v="30.8"/>
    <x v="25"/>
    <d v="2025-01-26T00:00:00"/>
    <x v="2"/>
    <x v="3"/>
    <x v="0"/>
    <x v="0"/>
    <x v="48"/>
    <x v="7"/>
    <x v="4"/>
    <x v="2"/>
  </r>
  <r>
    <x v="607"/>
    <x v="3"/>
    <x v="2"/>
    <x v="456"/>
    <n v="196.20000000000002"/>
    <x v="25"/>
    <d v="2025-01-29T00:00:00"/>
    <x v="1"/>
    <x v="3"/>
    <x v="0"/>
    <x v="0"/>
    <x v="18"/>
    <x v="2"/>
    <x v="4"/>
    <x v="1"/>
  </r>
  <r>
    <x v="608"/>
    <x v="1"/>
    <x v="8"/>
    <x v="56"/>
    <n v="505.6"/>
    <x v="25"/>
    <d v="2025-01-28T00:00:00"/>
    <x v="2"/>
    <x v="1"/>
    <x v="0"/>
    <x v="0"/>
    <x v="19"/>
    <x v="1"/>
    <x v="4"/>
    <x v="2"/>
  </r>
  <r>
    <x v="609"/>
    <x v="1"/>
    <x v="13"/>
    <x v="8"/>
    <n v="214.20000000000002"/>
    <x v="25"/>
    <d v="2025-01-30T00:00:00"/>
    <x v="2"/>
    <x v="4"/>
    <x v="1"/>
    <x v="0"/>
    <x v="19"/>
    <x v="5"/>
    <x v="4"/>
    <x v="2"/>
  </r>
  <r>
    <x v="610"/>
    <x v="0"/>
    <x v="28"/>
    <x v="457"/>
    <n v="524"/>
    <x v="25"/>
    <d v="2025-01-27T00:00:00"/>
    <x v="2"/>
    <x v="3"/>
    <x v="0"/>
    <x v="0"/>
    <x v="21"/>
    <x v="3"/>
    <x v="4"/>
    <x v="2"/>
  </r>
  <r>
    <x v="611"/>
    <x v="7"/>
    <x v="1"/>
    <x v="452"/>
    <n v="62"/>
    <x v="25"/>
    <d v="2025-01-27T00:00:00"/>
    <x v="2"/>
    <x v="0"/>
    <x v="2"/>
    <x v="0"/>
    <x v="1"/>
    <x v="3"/>
    <x v="4"/>
    <x v="2"/>
  </r>
  <r>
    <x v="612"/>
    <x v="8"/>
    <x v="12"/>
    <x v="3"/>
    <n v="150.80000000000001"/>
    <x v="25"/>
    <d v="2025-01-27T00:00:00"/>
    <x v="2"/>
    <x v="1"/>
    <x v="0"/>
    <x v="0"/>
    <x v="22"/>
    <x v="3"/>
    <x v="4"/>
    <x v="2"/>
  </r>
  <r>
    <x v="613"/>
    <x v="10"/>
    <x v="33"/>
    <x v="458"/>
    <n v="1482.4"/>
    <x v="25"/>
    <d v="2025-01-28T00:00:00"/>
    <x v="2"/>
    <x v="4"/>
    <x v="1"/>
    <x v="0"/>
    <x v="3"/>
    <x v="1"/>
    <x v="4"/>
    <x v="2"/>
  </r>
  <r>
    <x v="614"/>
    <x v="9"/>
    <x v="12"/>
    <x v="38"/>
    <n v="106"/>
    <x v="25"/>
    <d v="2025-01-28T00:00:00"/>
    <x v="1"/>
    <x v="0"/>
    <x v="4"/>
    <x v="0"/>
    <x v="3"/>
    <x v="1"/>
    <x v="4"/>
    <x v="1"/>
  </r>
  <r>
    <x v="615"/>
    <x v="0"/>
    <x v="1"/>
    <x v="292"/>
    <n v="69.2"/>
    <x v="25"/>
    <d v="2025-01-27T00:00:00"/>
    <x v="1"/>
    <x v="4"/>
    <x v="1"/>
    <x v="0"/>
    <x v="3"/>
    <x v="3"/>
    <x v="4"/>
    <x v="1"/>
  </r>
  <r>
    <x v="616"/>
    <x v="8"/>
    <x v="1"/>
    <x v="296"/>
    <n v="116.4"/>
    <x v="25"/>
    <d v="2025-01-27T00:00:00"/>
    <x v="1"/>
    <x v="2"/>
    <x v="2"/>
    <x v="0"/>
    <x v="3"/>
    <x v="3"/>
    <x v="4"/>
    <x v="1"/>
  </r>
  <r>
    <x v="617"/>
    <x v="7"/>
    <x v="0"/>
    <x v="224"/>
    <n v="30.2"/>
    <x v="26"/>
    <d v="2025-01-28T00:00:00"/>
    <x v="2"/>
    <x v="2"/>
    <x v="1"/>
    <x v="0"/>
    <x v="3"/>
    <x v="3"/>
    <x v="4"/>
    <x v="2"/>
  </r>
  <r>
    <x v="618"/>
    <x v="1"/>
    <x v="7"/>
    <x v="459"/>
    <n v="532"/>
    <x v="26"/>
    <d v="2025-01-28T00:00:00"/>
    <x v="1"/>
    <x v="0"/>
    <x v="2"/>
    <x v="0"/>
    <x v="5"/>
    <x v="3"/>
    <x v="4"/>
    <x v="1"/>
  </r>
  <r>
    <x v="619"/>
    <x v="12"/>
    <x v="13"/>
    <x v="18"/>
    <n v="306.60000000000002"/>
    <x v="26"/>
    <d v="2025-01-27T00:00:00"/>
    <x v="1"/>
    <x v="1"/>
    <x v="2"/>
    <x v="0"/>
    <x v="5"/>
    <x v="7"/>
    <x v="4"/>
    <x v="1"/>
  </r>
  <r>
    <x v="620"/>
    <x v="1"/>
    <x v="0"/>
    <x v="460"/>
    <n v="105.4"/>
    <x v="26"/>
    <d v="2025-01-31T00:00:00"/>
    <x v="2"/>
    <x v="1"/>
    <x v="2"/>
    <x v="0"/>
    <x v="23"/>
    <x v="5"/>
    <x v="4"/>
    <x v="2"/>
  </r>
  <r>
    <x v="621"/>
    <x v="7"/>
    <x v="0"/>
    <x v="461"/>
    <n v="57.7"/>
    <x v="26"/>
    <d v="2025-01-27T00:00:00"/>
    <x v="1"/>
    <x v="0"/>
    <x v="4"/>
    <x v="0"/>
    <x v="8"/>
    <x v="7"/>
    <x v="4"/>
    <x v="1"/>
  </r>
  <r>
    <x v="622"/>
    <x v="15"/>
    <x v="1"/>
    <x v="462"/>
    <n v="144.80000000000001"/>
    <x v="26"/>
    <d v="2025-02-01T00:00:00"/>
    <x v="2"/>
    <x v="0"/>
    <x v="0"/>
    <x v="0"/>
    <x v="17"/>
    <x v="0"/>
    <x v="4"/>
    <x v="2"/>
  </r>
  <r>
    <x v="623"/>
    <x v="6"/>
    <x v="1"/>
    <x v="366"/>
    <n v="125"/>
    <x v="26"/>
    <d v="2025-01-28T00:00:00"/>
    <x v="0"/>
    <x v="0"/>
    <x v="2"/>
    <x v="0"/>
    <x v="11"/>
    <x v="3"/>
    <x v="4"/>
    <x v="0"/>
  </r>
  <r>
    <x v="624"/>
    <x v="0"/>
    <x v="32"/>
    <x v="463"/>
    <n v="255.2"/>
    <x v="26"/>
    <d v="2025-01-29T00:00:00"/>
    <x v="2"/>
    <x v="3"/>
    <x v="2"/>
    <x v="0"/>
    <x v="18"/>
    <x v="1"/>
    <x v="4"/>
    <x v="2"/>
  </r>
  <r>
    <x v="625"/>
    <x v="10"/>
    <x v="7"/>
    <x v="180"/>
    <n v="396"/>
    <x v="26"/>
    <d v="2025-01-29T00:00:00"/>
    <x v="2"/>
    <x v="2"/>
    <x v="2"/>
    <x v="0"/>
    <x v="18"/>
    <x v="1"/>
    <x v="4"/>
    <x v="2"/>
  </r>
  <r>
    <x v="626"/>
    <x v="8"/>
    <x v="1"/>
    <x v="464"/>
    <n v="80.2"/>
    <x v="26"/>
    <d v="2025-01-28T00:00:00"/>
    <x v="2"/>
    <x v="2"/>
    <x v="0"/>
    <x v="0"/>
    <x v="18"/>
    <x v="3"/>
    <x v="4"/>
    <x v="2"/>
  </r>
  <r>
    <x v="627"/>
    <x v="8"/>
    <x v="2"/>
    <x v="465"/>
    <n v="55.800000000000004"/>
    <x v="26"/>
    <d v="2025-01-28T00:00:00"/>
    <x v="2"/>
    <x v="2"/>
    <x v="0"/>
    <x v="0"/>
    <x v="21"/>
    <x v="3"/>
    <x v="4"/>
    <x v="2"/>
  </r>
  <r>
    <x v="628"/>
    <x v="4"/>
    <x v="0"/>
    <x v="466"/>
    <n v="58.8"/>
    <x v="26"/>
    <d v="2025-01-29T00:00:00"/>
    <x v="2"/>
    <x v="0"/>
    <x v="1"/>
    <x v="0"/>
    <x v="21"/>
    <x v="1"/>
    <x v="4"/>
    <x v="2"/>
  </r>
  <r>
    <x v="629"/>
    <x v="8"/>
    <x v="1"/>
    <x v="237"/>
    <n v="44.2"/>
    <x v="26"/>
    <d v="2025-01-30T00:00:00"/>
    <x v="1"/>
    <x v="1"/>
    <x v="2"/>
    <x v="0"/>
    <x v="21"/>
    <x v="2"/>
    <x v="4"/>
    <x v="1"/>
  </r>
  <r>
    <x v="630"/>
    <x v="2"/>
    <x v="0"/>
    <x v="467"/>
    <n v="114.9"/>
    <x v="27"/>
    <d v="2025-01-29T00:00:00"/>
    <x v="2"/>
    <x v="1"/>
    <x v="1"/>
    <x v="0"/>
    <x v="22"/>
    <x v="3"/>
    <x v="4"/>
    <x v="2"/>
  </r>
  <r>
    <x v="631"/>
    <x v="9"/>
    <x v="9"/>
    <x v="124"/>
    <n v="379"/>
    <x v="27"/>
    <d v="2025-01-29T00:00:00"/>
    <x v="1"/>
    <x v="0"/>
    <x v="2"/>
    <x v="0"/>
    <x v="3"/>
    <x v="3"/>
    <x v="4"/>
    <x v="1"/>
  </r>
  <r>
    <x v="632"/>
    <x v="14"/>
    <x v="9"/>
    <x v="468"/>
    <n v="103"/>
    <x v="27"/>
    <d v="2025-01-29T00:00:00"/>
    <x v="1"/>
    <x v="2"/>
    <x v="2"/>
    <x v="0"/>
    <x v="3"/>
    <x v="3"/>
    <x v="4"/>
    <x v="1"/>
  </r>
  <r>
    <x v="633"/>
    <x v="17"/>
    <x v="2"/>
    <x v="469"/>
    <n v="203.70000000000002"/>
    <x v="27"/>
    <d v="2025-01-29T00:00:00"/>
    <x v="2"/>
    <x v="1"/>
    <x v="1"/>
    <x v="0"/>
    <x v="3"/>
    <x v="3"/>
    <x v="4"/>
    <x v="2"/>
  </r>
  <r>
    <x v="634"/>
    <x v="0"/>
    <x v="9"/>
    <x v="49"/>
    <n v="135"/>
    <x v="27"/>
    <d v="2025-02-04T00:00:00"/>
    <x v="2"/>
    <x v="0"/>
    <x v="2"/>
    <x v="0"/>
    <x v="3"/>
    <x v="6"/>
    <x v="4"/>
    <x v="2"/>
  </r>
  <r>
    <x v="635"/>
    <x v="13"/>
    <x v="0"/>
    <x v="79"/>
    <n v="50.6"/>
    <x v="27"/>
    <d v="2025-01-28T00:00:00"/>
    <x v="1"/>
    <x v="0"/>
    <x v="1"/>
    <x v="0"/>
    <x v="3"/>
    <x v="7"/>
    <x v="4"/>
    <x v="1"/>
  </r>
  <r>
    <x v="636"/>
    <x v="4"/>
    <x v="9"/>
    <x v="237"/>
    <n v="110.5"/>
    <x v="27"/>
    <d v="2025-02-02T00:00:00"/>
    <x v="1"/>
    <x v="0"/>
    <x v="0"/>
    <x v="0"/>
    <x v="3"/>
    <x v="0"/>
    <x v="4"/>
    <x v="1"/>
  </r>
  <r>
    <x v="637"/>
    <x v="8"/>
    <x v="2"/>
    <x v="429"/>
    <n v="128.69999999999999"/>
    <x v="27"/>
    <d v="2025-01-30T00:00:00"/>
    <x v="2"/>
    <x v="0"/>
    <x v="0"/>
    <x v="0"/>
    <x v="3"/>
    <x v="1"/>
    <x v="4"/>
    <x v="2"/>
  </r>
  <r>
    <x v="638"/>
    <x v="1"/>
    <x v="5"/>
    <x v="470"/>
    <n v="686.4"/>
    <x v="27"/>
    <d v="2025-01-30T00:00:00"/>
    <x v="2"/>
    <x v="2"/>
    <x v="0"/>
    <x v="0"/>
    <x v="3"/>
    <x v="1"/>
    <x v="4"/>
    <x v="2"/>
  </r>
  <r>
    <x v="639"/>
    <x v="13"/>
    <x v="11"/>
    <x v="128"/>
    <n v="327.59999999999997"/>
    <x v="27"/>
    <d v="2025-01-30T00:00:00"/>
    <x v="2"/>
    <x v="0"/>
    <x v="2"/>
    <x v="0"/>
    <x v="3"/>
    <x v="1"/>
    <x v="4"/>
    <x v="2"/>
  </r>
  <r>
    <x v="640"/>
    <x v="0"/>
    <x v="1"/>
    <x v="243"/>
    <n v="45"/>
    <x v="27"/>
    <d v="2025-01-31T00:00:00"/>
    <x v="1"/>
    <x v="0"/>
    <x v="0"/>
    <x v="0"/>
    <x v="3"/>
    <x v="2"/>
    <x v="4"/>
    <x v="1"/>
  </r>
  <r>
    <x v="641"/>
    <x v="6"/>
    <x v="12"/>
    <x v="471"/>
    <n v="283.2"/>
    <x v="27"/>
    <d v="2025-01-30T00:00:00"/>
    <x v="2"/>
    <x v="4"/>
    <x v="0"/>
    <x v="0"/>
    <x v="3"/>
    <x v="1"/>
    <x v="4"/>
    <x v="2"/>
  </r>
  <r>
    <x v="642"/>
    <x v="6"/>
    <x v="9"/>
    <x v="472"/>
    <n v="283"/>
    <x v="27"/>
    <d v="2025-01-30T00:00:00"/>
    <x v="1"/>
    <x v="0"/>
    <x v="1"/>
    <x v="0"/>
    <x v="4"/>
    <x v="1"/>
    <x v="4"/>
    <x v="1"/>
  </r>
  <r>
    <x v="643"/>
    <x v="6"/>
    <x v="1"/>
    <x v="367"/>
    <n v="95.8"/>
    <x v="27"/>
    <d v="2025-01-29T00:00:00"/>
    <x v="2"/>
    <x v="0"/>
    <x v="0"/>
    <x v="0"/>
    <x v="6"/>
    <x v="3"/>
    <x v="4"/>
    <x v="2"/>
  </r>
  <r>
    <x v="644"/>
    <x v="6"/>
    <x v="8"/>
    <x v="473"/>
    <n v="627.20000000000005"/>
    <x v="27"/>
    <d v="2025-01-30T00:00:00"/>
    <x v="2"/>
    <x v="1"/>
    <x v="0"/>
    <x v="0"/>
    <x v="6"/>
    <x v="1"/>
    <x v="4"/>
    <x v="2"/>
  </r>
  <r>
    <x v="645"/>
    <x v="2"/>
    <x v="21"/>
    <x v="474"/>
    <n v="1709.3999999999999"/>
    <x v="27"/>
    <d v="2025-02-02T00:00:00"/>
    <x v="2"/>
    <x v="0"/>
    <x v="2"/>
    <x v="0"/>
    <x v="6"/>
    <x v="0"/>
    <x v="4"/>
    <x v="2"/>
  </r>
  <r>
    <x v="646"/>
    <x v="2"/>
    <x v="1"/>
    <x v="371"/>
    <n v="167.4"/>
    <x v="28"/>
    <d v="2025-01-29T00:00:00"/>
    <x v="0"/>
    <x v="1"/>
    <x v="2"/>
    <x v="0"/>
    <x v="7"/>
    <x v="7"/>
    <x v="4"/>
    <x v="0"/>
  </r>
  <r>
    <x v="647"/>
    <x v="3"/>
    <x v="12"/>
    <x v="475"/>
    <n v="391.6"/>
    <x v="28"/>
    <d v="2025-02-02T00:00:00"/>
    <x v="2"/>
    <x v="3"/>
    <x v="2"/>
    <x v="0"/>
    <x v="7"/>
    <x v="5"/>
    <x v="4"/>
    <x v="2"/>
  </r>
  <r>
    <x v="648"/>
    <x v="14"/>
    <x v="0"/>
    <x v="476"/>
    <n v="15"/>
    <x v="28"/>
    <d v="2025-02-03T00:00:00"/>
    <x v="2"/>
    <x v="3"/>
    <x v="0"/>
    <x v="0"/>
    <x v="8"/>
    <x v="0"/>
    <x v="4"/>
    <x v="2"/>
  </r>
  <r>
    <x v="649"/>
    <x v="12"/>
    <x v="2"/>
    <x v="477"/>
    <n v="283.79999999999995"/>
    <x v="28"/>
    <d v="2025-01-30T00:00:00"/>
    <x v="1"/>
    <x v="2"/>
    <x v="1"/>
    <x v="0"/>
    <x v="8"/>
    <x v="3"/>
    <x v="4"/>
    <x v="1"/>
  </r>
  <r>
    <x v="650"/>
    <x v="0"/>
    <x v="13"/>
    <x v="478"/>
    <n v="118.19999999999999"/>
    <x v="28"/>
    <d v="2025-02-09T00:00:00"/>
    <x v="2"/>
    <x v="0"/>
    <x v="2"/>
    <x v="0"/>
    <x v="8"/>
    <x v="11"/>
    <x v="4"/>
    <x v="2"/>
  </r>
  <r>
    <x v="651"/>
    <x v="7"/>
    <x v="0"/>
    <x v="21"/>
    <n v="46.7"/>
    <x v="28"/>
    <d v="2025-02-01T00:00:00"/>
    <x v="2"/>
    <x v="2"/>
    <x v="0"/>
    <x v="0"/>
    <x v="17"/>
    <x v="2"/>
    <x v="4"/>
    <x v="2"/>
  </r>
  <r>
    <x v="652"/>
    <x v="1"/>
    <x v="12"/>
    <x v="280"/>
    <n v="172"/>
    <x v="28"/>
    <d v="2025-01-30T00:00:00"/>
    <x v="1"/>
    <x v="2"/>
    <x v="2"/>
    <x v="0"/>
    <x v="17"/>
    <x v="3"/>
    <x v="4"/>
    <x v="1"/>
  </r>
  <r>
    <x v="653"/>
    <x v="6"/>
    <x v="2"/>
    <x v="197"/>
    <n v="204.60000000000002"/>
    <x v="28"/>
    <d v="2025-02-04T00:00:00"/>
    <x v="2"/>
    <x v="0"/>
    <x v="0"/>
    <x v="0"/>
    <x v="9"/>
    <x v="4"/>
    <x v="4"/>
    <x v="2"/>
  </r>
  <r>
    <x v="654"/>
    <x v="10"/>
    <x v="7"/>
    <x v="51"/>
    <n v="243"/>
    <x v="28"/>
    <d v="2025-01-30T00:00:00"/>
    <x v="1"/>
    <x v="0"/>
    <x v="2"/>
    <x v="0"/>
    <x v="10"/>
    <x v="3"/>
    <x v="4"/>
    <x v="1"/>
  </r>
  <r>
    <x v="655"/>
    <x v="7"/>
    <x v="1"/>
    <x v="479"/>
    <n v="173.6"/>
    <x v="28"/>
    <d v="2025-02-02T00:00:00"/>
    <x v="2"/>
    <x v="4"/>
    <x v="2"/>
    <x v="0"/>
    <x v="11"/>
    <x v="5"/>
    <x v="4"/>
    <x v="2"/>
  </r>
  <r>
    <x v="656"/>
    <x v="0"/>
    <x v="1"/>
    <x v="35"/>
    <n v="31.6"/>
    <x v="28"/>
    <d v="2025-01-31T00:00:00"/>
    <x v="1"/>
    <x v="1"/>
    <x v="0"/>
    <x v="0"/>
    <x v="11"/>
    <x v="1"/>
    <x v="4"/>
    <x v="1"/>
  </r>
  <r>
    <x v="657"/>
    <x v="2"/>
    <x v="12"/>
    <x v="480"/>
    <n v="246.4"/>
    <x v="28"/>
    <d v="2025-01-30T00:00:00"/>
    <x v="1"/>
    <x v="2"/>
    <x v="0"/>
    <x v="0"/>
    <x v="11"/>
    <x v="3"/>
    <x v="4"/>
    <x v="1"/>
  </r>
  <r>
    <x v="658"/>
    <x v="6"/>
    <x v="2"/>
    <x v="242"/>
    <n v="146.10000000000002"/>
    <x v="28"/>
    <d v="2025-02-04T00:00:00"/>
    <x v="2"/>
    <x v="1"/>
    <x v="2"/>
    <x v="0"/>
    <x v="45"/>
    <x v="4"/>
    <x v="4"/>
    <x v="2"/>
  </r>
  <r>
    <x v="659"/>
    <x v="8"/>
    <x v="12"/>
    <x v="51"/>
    <n v="97.2"/>
    <x v="28"/>
    <d v="2025-01-31T00:00:00"/>
    <x v="2"/>
    <x v="1"/>
    <x v="2"/>
    <x v="0"/>
    <x v="21"/>
    <x v="1"/>
    <x v="4"/>
    <x v="2"/>
  </r>
  <r>
    <x v="660"/>
    <x v="2"/>
    <x v="1"/>
    <x v="481"/>
    <n v="261.39999999999998"/>
    <x v="28"/>
    <d v="2025-01-30T00:00:00"/>
    <x v="2"/>
    <x v="2"/>
    <x v="0"/>
    <x v="0"/>
    <x v="44"/>
    <x v="3"/>
    <x v="4"/>
    <x v="2"/>
  </r>
  <r>
    <x v="661"/>
    <x v="10"/>
    <x v="0"/>
    <x v="269"/>
    <n v="26"/>
    <x v="28"/>
    <d v="2025-01-31T00:00:00"/>
    <x v="1"/>
    <x v="0"/>
    <x v="0"/>
    <x v="0"/>
    <x v="3"/>
    <x v="1"/>
    <x v="4"/>
    <x v="1"/>
  </r>
  <r>
    <x v="662"/>
    <x v="2"/>
    <x v="9"/>
    <x v="482"/>
    <n v="472"/>
    <x v="28"/>
    <d v="2025-01-30T00:00:00"/>
    <x v="2"/>
    <x v="0"/>
    <x v="0"/>
    <x v="0"/>
    <x v="3"/>
    <x v="3"/>
    <x v="4"/>
    <x v="2"/>
  </r>
  <r>
    <x v="663"/>
    <x v="0"/>
    <x v="13"/>
    <x v="483"/>
    <n v="142.19999999999999"/>
    <x v="28"/>
    <d v="2025-01-31T00:00:00"/>
    <x v="1"/>
    <x v="2"/>
    <x v="2"/>
    <x v="0"/>
    <x v="3"/>
    <x v="1"/>
    <x v="4"/>
    <x v="1"/>
  </r>
  <r>
    <x v="664"/>
    <x v="9"/>
    <x v="4"/>
    <x v="484"/>
    <n v="448.79999999999995"/>
    <x v="28"/>
    <d v="2025-01-31T00:00:00"/>
    <x v="1"/>
    <x v="2"/>
    <x v="0"/>
    <x v="0"/>
    <x v="3"/>
    <x v="1"/>
    <x v="4"/>
    <x v="1"/>
  </r>
  <r>
    <x v="665"/>
    <x v="1"/>
    <x v="34"/>
    <x v="204"/>
    <n v="1987.2"/>
    <x v="28"/>
    <d v="2025-01-29T00:00:00"/>
    <x v="2"/>
    <x v="3"/>
    <x v="1"/>
    <x v="0"/>
    <x v="3"/>
    <x v="7"/>
    <x v="4"/>
    <x v="2"/>
  </r>
  <r>
    <x v="666"/>
    <x v="2"/>
    <x v="11"/>
    <x v="140"/>
    <n v="513.9"/>
    <x v="28"/>
    <d v="2025-01-31T00:00:00"/>
    <x v="1"/>
    <x v="0"/>
    <x v="2"/>
    <x v="0"/>
    <x v="3"/>
    <x v="1"/>
    <x v="4"/>
    <x v="1"/>
  </r>
  <r>
    <x v="667"/>
    <x v="12"/>
    <x v="0"/>
    <x v="6"/>
    <n v="55.3"/>
    <x v="28"/>
    <d v="2025-01-30T00:00:00"/>
    <x v="2"/>
    <x v="2"/>
    <x v="2"/>
    <x v="0"/>
    <x v="3"/>
    <x v="3"/>
    <x v="4"/>
    <x v="2"/>
  </r>
  <r>
    <x v="668"/>
    <x v="15"/>
    <x v="3"/>
    <x v="273"/>
    <n v="167.29999999999998"/>
    <x v="28"/>
    <d v="2025-01-30T00:00:00"/>
    <x v="2"/>
    <x v="4"/>
    <x v="1"/>
    <x v="0"/>
    <x v="3"/>
    <x v="3"/>
    <x v="4"/>
    <x v="2"/>
  </r>
  <r>
    <x v="669"/>
    <x v="0"/>
    <x v="0"/>
    <x v="268"/>
    <n v="34.1"/>
    <x v="28"/>
    <d v="2025-02-05T00:00:00"/>
    <x v="2"/>
    <x v="2"/>
    <x v="0"/>
    <x v="0"/>
    <x v="3"/>
    <x v="6"/>
    <x v="4"/>
    <x v="2"/>
  </r>
  <r>
    <x v="670"/>
    <x v="12"/>
    <x v="12"/>
    <x v="153"/>
    <n v="154"/>
    <x v="28"/>
    <d v="2025-02-09T00:00:00"/>
    <x v="2"/>
    <x v="0"/>
    <x v="0"/>
    <x v="0"/>
    <x v="3"/>
    <x v="11"/>
    <x v="4"/>
    <x v="2"/>
  </r>
  <r>
    <x v="671"/>
    <x v="7"/>
    <x v="1"/>
    <x v="485"/>
    <n v="210"/>
    <x v="28"/>
    <d v="2025-02-04T00:00:00"/>
    <x v="2"/>
    <x v="0"/>
    <x v="2"/>
    <x v="0"/>
    <x v="3"/>
    <x v="4"/>
    <x v="4"/>
    <x v="2"/>
  </r>
  <r>
    <x v="672"/>
    <x v="8"/>
    <x v="9"/>
    <x v="291"/>
    <n v="226"/>
    <x v="28"/>
    <d v="2025-01-31T00:00:00"/>
    <x v="2"/>
    <x v="0"/>
    <x v="2"/>
    <x v="0"/>
    <x v="3"/>
    <x v="1"/>
    <x v="4"/>
    <x v="2"/>
  </r>
  <r>
    <x v="673"/>
    <x v="17"/>
    <x v="2"/>
    <x v="486"/>
    <n v="74.400000000000006"/>
    <x v="28"/>
    <d v="2025-01-29T00:00:00"/>
    <x v="0"/>
    <x v="0"/>
    <x v="1"/>
    <x v="0"/>
    <x v="3"/>
    <x v="7"/>
    <x v="4"/>
    <x v="0"/>
  </r>
  <r>
    <x v="674"/>
    <x v="11"/>
    <x v="12"/>
    <x v="20"/>
    <n v="175.2"/>
    <x v="28"/>
    <d v="2025-02-05T00:00:00"/>
    <x v="2"/>
    <x v="1"/>
    <x v="2"/>
    <x v="0"/>
    <x v="6"/>
    <x v="6"/>
    <x v="4"/>
    <x v="2"/>
  </r>
  <r>
    <x v="675"/>
    <x v="1"/>
    <x v="0"/>
    <x v="487"/>
    <n v="75"/>
    <x v="28"/>
    <d v="2025-01-31T00:00:00"/>
    <x v="2"/>
    <x v="4"/>
    <x v="1"/>
    <x v="0"/>
    <x v="6"/>
    <x v="1"/>
    <x v="4"/>
    <x v="2"/>
  </r>
  <r>
    <x v="676"/>
    <x v="2"/>
    <x v="0"/>
    <x v="488"/>
    <n v="169.9"/>
    <x v="28"/>
    <d v="2025-01-30T00:00:00"/>
    <x v="1"/>
    <x v="2"/>
    <x v="0"/>
    <x v="0"/>
    <x v="6"/>
    <x v="3"/>
    <x v="4"/>
    <x v="1"/>
  </r>
  <r>
    <x v="677"/>
    <x v="9"/>
    <x v="1"/>
    <x v="489"/>
    <n v="144.4"/>
    <x v="28"/>
    <d v="2025-01-31T00:00:00"/>
    <x v="2"/>
    <x v="4"/>
    <x v="1"/>
    <x v="0"/>
    <x v="6"/>
    <x v="1"/>
    <x v="4"/>
    <x v="2"/>
  </r>
  <r>
    <x v="678"/>
    <x v="0"/>
    <x v="0"/>
    <x v="490"/>
    <n v="20"/>
    <x v="29"/>
    <d v="2025-02-02T00:00:00"/>
    <x v="2"/>
    <x v="2"/>
    <x v="1"/>
    <x v="0"/>
    <x v="7"/>
    <x v="2"/>
    <x v="4"/>
    <x v="2"/>
  </r>
  <r>
    <x v="679"/>
    <x v="9"/>
    <x v="1"/>
    <x v="363"/>
    <n v="81.599999999999994"/>
    <x v="29"/>
    <d v="2025-02-01T00:00:00"/>
    <x v="2"/>
    <x v="3"/>
    <x v="2"/>
    <x v="0"/>
    <x v="8"/>
    <x v="1"/>
    <x v="4"/>
    <x v="2"/>
  </r>
  <r>
    <x v="680"/>
    <x v="10"/>
    <x v="12"/>
    <x v="491"/>
    <n v="232"/>
    <x v="29"/>
    <d v="2025-02-03T00:00:00"/>
    <x v="2"/>
    <x v="0"/>
    <x v="0"/>
    <x v="0"/>
    <x v="8"/>
    <x v="5"/>
    <x v="4"/>
    <x v="2"/>
  </r>
  <r>
    <x v="681"/>
    <x v="12"/>
    <x v="1"/>
    <x v="39"/>
    <n v="86.2"/>
    <x v="29"/>
    <d v="2025-01-31T00:00:00"/>
    <x v="2"/>
    <x v="1"/>
    <x v="2"/>
    <x v="0"/>
    <x v="8"/>
    <x v="3"/>
    <x v="4"/>
    <x v="2"/>
  </r>
  <r>
    <x v="682"/>
    <x v="6"/>
    <x v="11"/>
    <x v="492"/>
    <n v="672.30000000000007"/>
    <x v="29"/>
    <d v="2025-02-01T00:00:00"/>
    <x v="1"/>
    <x v="0"/>
    <x v="2"/>
    <x v="0"/>
    <x v="8"/>
    <x v="1"/>
    <x v="4"/>
    <x v="1"/>
  </r>
  <r>
    <x v="683"/>
    <x v="6"/>
    <x v="0"/>
    <x v="493"/>
    <n v="128.19999999999999"/>
    <x v="29"/>
    <d v="2025-01-30T00:00:00"/>
    <x v="1"/>
    <x v="1"/>
    <x v="0"/>
    <x v="0"/>
    <x v="8"/>
    <x v="7"/>
    <x v="4"/>
    <x v="1"/>
  </r>
  <r>
    <x v="684"/>
    <x v="14"/>
    <x v="12"/>
    <x v="494"/>
    <n v="106.8"/>
    <x v="29"/>
    <d v="2025-01-31T00:00:00"/>
    <x v="1"/>
    <x v="1"/>
    <x v="0"/>
    <x v="0"/>
    <x v="8"/>
    <x v="3"/>
    <x v="4"/>
    <x v="1"/>
  </r>
  <r>
    <x v="685"/>
    <x v="17"/>
    <x v="13"/>
    <x v="217"/>
    <n v="189"/>
    <x v="29"/>
    <d v="2025-01-31T00:00:00"/>
    <x v="2"/>
    <x v="2"/>
    <x v="0"/>
    <x v="0"/>
    <x v="17"/>
    <x v="3"/>
    <x v="4"/>
    <x v="2"/>
  </r>
  <r>
    <x v="686"/>
    <x v="3"/>
    <x v="3"/>
    <x v="337"/>
    <n v="452.90000000000003"/>
    <x v="29"/>
    <d v="2025-01-31T00:00:00"/>
    <x v="2"/>
    <x v="0"/>
    <x v="2"/>
    <x v="0"/>
    <x v="9"/>
    <x v="3"/>
    <x v="4"/>
    <x v="2"/>
  </r>
  <r>
    <x v="687"/>
    <x v="5"/>
    <x v="1"/>
    <x v="495"/>
    <n v="111.2"/>
    <x v="29"/>
    <d v="2025-02-02T00:00:00"/>
    <x v="2"/>
    <x v="3"/>
    <x v="0"/>
    <x v="0"/>
    <x v="11"/>
    <x v="2"/>
    <x v="4"/>
    <x v="2"/>
  </r>
  <r>
    <x v="688"/>
    <x v="3"/>
    <x v="1"/>
    <x v="310"/>
    <n v="72.400000000000006"/>
    <x v="29"/>
    <d v="2025-01-31T00:00:00"/>
    <x v="2"/>
    <x v="3"/>
    <x v="0"/>
    <x v="0"/>
    <x v="11"/>
    <x v="3"/>
    <x v="4"/>
    <x v="2"/>
  </r>
  <r>
    <x v="689"/>
    <x v="0"/>
    <x v="0"/>
    <x v="439"/>
    <n v="26.6"/>
    <x v="29"/>
    <d v="2025-01-31T00:00:00"/>
    <x v="0"/>
    <x v="1"/>
    <x v="1"/>
    <x v="0"/>
    <x v="19"/>
    <x v="3"/>
    <x v="4"/>
    <x v="0"/>
  </r>
  <r>
    <x v="690"/>
    <x v="10"/>
    <x v="12"/>
    <x v="217"/>
    <n v="126"/>
    <x v="29"/>
    <d v="2025-02-01T00:00:00"/>
    <x v="1"/>
    <x v="0"/>
    <x v="0"/>
    <x v="0"/>
    <x v="31"/>
    <x v="1"/>
    <x v="4"/>
    <x v="1"/>
  </r>
  <r>
    <x v="691"/>
    <x v="10"/>
    <x v="0"/>
    <x v="49"/>
    <n v="27"/>
    <x v="29"/>
    <d v="2025-02-01T00:00:00"/>
    <x v="2"/>
    <x v="1"/>
    <x v="2"/>
    <x v="0"/>
    <x v="13"/>
    <x v="1"/>
    <x v="4"/>
    <x v="2"/>
  </r>
  <r>
    <x v="692"/>
    <x v="4"/>
    <x v="0"/>
    <x v="34"/>
    <n v="32"/>
    <x v="29"/>
    <d v="2025-02-02T00:00:00"/>
    <x v="1"/>
    <x v="3"/>
    <x v="0"/>
    <x v="0"/>
    <x v="21"/>
    <x v="2"/>
    <x v="4"/>
    <x v="1"/>
  </r>
  <r>
    <x v="693"/>
    <x v="1"/>
    <x v="2"/>
    <x v="142"/>
    <n v="144.30000000000001"/>
    <x v="29"/>
    <d v="2025-02-01T00:00:00"/>
    <x v="1"/>
    <x v="2"/>
    <x v="1"/>
    <x v="0"/>
    <x v="1"/>
    <x v="1"/>
    <x v="4"/>
    <x v="1"/>
  </r>
  <r>
    <x v="694"/>
    <x v="9"/>
    <x v="1"/>
    <x v="171"/>
    <n v="86.8"/>
    <x v="29"/>
    <d v="2025-01-31T00:00:00"/>
    <x v="1"/>
    <x v="1"/>
    <x v="1"/>
    <x v="0"/>
    <x v="22"/>
    <x v="3"/>
    <x v="4"/>
    <x v="1"/>
  </r>
  <r>
    <x v="695"/>
    <x v="6"/>
    <x v="1"/>
    <x v="325"/>
    <n v="85.2"/>
    <x v="29"/>
    <d v="2025-02-02T00:00:00"/>
    <x v="2"/>
    <x v="3"/>
    <x v="0"/>
    <x v="0"/>
    <x v="22"/>
    <x v="2"/>
    <x v="4"/>
    <x v="2"/>
  </r>
  <r>
    <x v="696"/>
    <x v="8"/>
    <x v="1"/>
    <x v="496"/>
    <n v="31.8"/>
    <x v="29"/>
    <d v="2025-01-31T00:00:00"/>
    <x v="2"/>
    <x v="0"/>
    <x v="0"/>
    <x v="0"/>
    <x v="34"/>
    <x v="3"/>
    <x v="4"/>
    <x v="2"/>
  </r>
  <r>
    <x v="697"/>
    <x v="9"/>
    <x v="1"/>
    <x v="56"/>
    <n v="126.4"/>
    <x v="29"/>
    <d v="2025-01-31T00:00:00"/>
    <x v="1"/>
    <x v="1"/>
    <x v="0"/>
    <x v="0"/>
    <x v="3"/>
    <x v="3"/>
    <x v="4"/>
    <x v="1"/>
  </r>
  <r>
    <x v="698"/>
    <x v="7"/>
    <x v="12"/>
    <x v="497"/>
    <n v="259.2"/>
    <x v="29"/>
    <d v="2025-02-01T00:00:00"/>
    <x v="0"/>
    <x v="4"/>
    <x v="1"/>
    <x v="0"/>
    <x v="3"/>
    <x v="1"/>
    <x v="4"/>
    <x v="0"/>
  </r>
  <r>
    <x v="699"/>
    <x v="7"/>
    <x v="2"/>
    <x v="304"/>
    <n v="239.39999999999998"/>
    <x v="29"/>
    <d v="2025-01-31T00:00:00"/>
    <x v="1"/>
    <x v="0"/>
    <x v="0"/>
    <x v="0"/>
    <x v="3"/>
    <x v="3"/>
    <x v="4"/>
    <x v="1"/>
  </r>
  <r>
    <x v="700"/>
    <x v="9"/>
    <x v="0"/>
    <x v="10"/>
    <n v="54.4"/>
    <x v="29"/>
    <d v="2025-02-01T00:00:00"/>
    <x v="2"/>
    <x v="4"/>
    <x v="2"/>
    <x v="0"/>
    <x v="3"/>
    <x v="1"/>
    <x v="4"/>
    <x v="2"/>
  </r>
  <r>
    <x v="701"/>
    <x v="6"/>
    <x v="0"/>
    <x v="317"/>
    <n v="87.3"/>
    <x v="29"/>
    <d v="2025-01-31T00:00:00"/>
    <x v="1"/>
    <x v="1"/>
    <x v="0"/>
    <x v="0"/>
    <x v="3"/>
    <x v="3"/>
    <x v="4"/>
    <x v="1"/>
  </r>
  <r>
    <x v="702"/>
    <x v="8"/>
    <x v="12"/>
    <x v="498"/>
    <n v="129.6"/>
    <x v="29"/>
    <d v="2025-01-30T00:00:00"/>
    <x v="1"/>
    <x v="1"/>
    <x v="0"/>
    <x v="0"/>
    <x v="3"/>
    <x v="7"/>
    <x v="4"/>
    <x v="1"/>
  </r>
  <r>
    <x v="703"/>
    <x v="2"/>
    <x v="0"/>
    <x v="499"/>
    <n v="177.4"/>
    <x v="29"/>
    <d v="2025-02-03T00:00:00"/>
    <x v="1"/>
    <x v="0"/>
    <x v="2"/>
    <x v="0"/>
    <x v="3"/>
    <x v="5"/>
    <x v="4"/>
    <x v="1"/>
  </r>
  <r>
    <x v="704"/>
    <x v="7"/>
    <x v="1"/>
    <x v="163"/>
    <n v="140.19999999999999"/>
    <x v="29"/>
    <d v="2025-01-31T00:00:00"/>
    <x v="1"/>
    <x v="3"/>
    <x v="1"/>
    <x v="0"/>
    <x v="3"/>
    <x v="3"/>
    <x v="4"/>
    <x v="1"/>
  </r>
  <r>
    <x v="705"/>
    <x v="9"/>
    <x v="13"/>
    <x v="18"/>
    <n v="306.60000000000002"/>
    <x v="29"/>
    <d v="2025-01-31T00:00:00"/>
    <x v="2"/>
    <x v="0"/>
    <x v="0"/>
    <x v="0"/>
    <x v="3"/>
    <x v="3"/>
    <x v="4"/>
    <x v="2"/>
  </r>
  <r>
    <x v="706"/>
    <x v="2"/>
    <x v="9"/>
    <x v="22"/>
    <n v="399.5"/>
    <x v="29"/>
    <d v="2025-02-01T00:00:00"/>
    <x v="1"/>
    <x v="3"/>
    <x v="2"/>
    <x v="0"/>
    <x v="24"/>
    <x v="1"/>
    <x v="4"/>
    <x v="1"/>
  </r>
  <r>
    <x v="707"/>
    <x v="6"/>
    <x v="0"/>
    <x v="222"/>
    <n v="57.6"/>
    <x v="30"/>
    <d v="2025-02-05T00:00:00"/>
    <x v="1"/>
    <x v="0"/>
    <x v="2"/>
    <x v="0"/>
    <x v="49"/>
    <x v="0"/>
    <x v="4"/>
    <x v="1"/>
  </r>
  <r>
    <x v="708"/>
    <x v="8"/>
    <x v="7"/>
    <x v="115"/>
    <n v="597"/>
    <x v="30"/>
    <d v="2025-02-04T00:00:00"/>
    <x v="1"/>
    <x v="2"/>
    <x v="0"/>
    <x v="0"/>
    <x v="25"/>
    <x v="5"/>
    <x v="4"/>
    <x v="1"/>
  </r>
  <r>
    <x v="709"/>
    <x v="8"/>
    <x v="9"/>
    <x v="500"/>
    <n v="150"/>
    <x v="30"/>
    <d v="2025-02-02T00:00:00"/>
    <x v="1"/>
    <x v="1"/>
    <x v="0"/>
    <x v="0"/>
    <x v="6"/>
    <x v="1"/>
    <x v="4"/>
    <x v="1"/>
  </r>
  <r>
    <x v="710"/>
    <x v="10"/>
    <x v="1"/>
    <x v="62"/>
    <n v="138.4"/>
    <x v="30"/>
    <d v="2025-02-02T00:00:00"/>
    <x v="0"/>
    <x v="2"/>
    <x v="1"/>
    <x v="0"/>
    <x v="6"/>
    <x v="1"/>
    <x v="4"/>
    <x v="0"/>
  </r>
  <r>
    <x v="711"/>
    <x v="0"/>
    <x v="8"/>
    <x v="0"/>
    <n v="87.2"/>
    <x v="30"/>
    <d v="2025-02-01T00:00:00"/>
    <x v="2"/>
    <x v="0"/>
    <x v="2"/>
    <x v="0"/>
    <x v="6"/>
    <x v="3"/>
    <x v="4"/>
    <x v="2"/>
  </r>
  <r>
    <x v="712"/>
    <x v="16"/>
    <x v="1"/>
    <x v="379"/>
    <n v="97.2"/>
    <x v="30"/>
    <d v="2025-02-04T00:00:00"/>
    <x v="1"/>
    <x v="1"/>
    <x v="2"/>
    <x v="0"/>
    <x v="6"/>
    <x v="5"/>
    <x v="4"/>
    <x v="1"/>
  </r>
  <r>
    <x v="713"/>
    <x v="2"/>
    <x v="1"/>
    <x v="501"/>
    <n v="122.2"/>
    <x v="30"/>
    <d v="2025-02-03T00:00:00"/>
    <x v="2"/>
    <x v="1"/>
    <x v="2"/>
    <x v="0"/>
    <x v="7"/>
    <x v="2"/>
    <x v="4"/>
    <x v="2"/>
  </r>
  <r>
    <x v="714"/>
    <x v="8"/>
    <x v="1"/>
    <x v="372"/>
    <n v="46.4"/>
    <x v="30"/>
    <d v="2025-02-01T00:00:00"/>
    <x v="1"/>
    <x v="3"/>
    <x v="2"/>
    <x v="0"/>
    <x v="8"/>
    <x v="3"/>
    <x v="4"/>
    <x v="1"/>
  </r>
  <r>
    <x v="715"/>
    <x v="12"/>
    <x v="12"/>
    <x v="502"/>
    <n v="223.2"/>
    <x v="30"/>
    <d v="2025-02-01T00:00:00"/>
    <x v="1"/>
    <x v="0"/>
    <x v="0"/>
    <x v="0"/>
    <x v="8"/>
    <x v="3"/>
    <x v="4"/>
    <x v="1"/>
  </r>
  <r>
    <x v="716"/>
    <x v="9"/>
    <x v="12"/>
    <x v="486"/>
    <n v="99.2"/>
    <x v="30"/>
    <d v="2025-02-01T00:00:00"/>
    <x v="2"/>
    <x v="0"/>
    <x v="2"/>
    <x v="0"/>
    <x v="8"/>
    <x v="3"/>
    <x v="4"/>
    <x v="2"/>
  </r>
  <r>
    <x v="717"/>
    <x v="10"/>
    <x v="1"/>
    <x v="343"/>
    <n v="55.8"/>
    <x v="30"/>
    <d v="2025-01-31T00:00:00"/>
    <x v="1"/>
    <x v="2"/>
    <x v="2"/>
    <x v="0"/>
    <x v="8"/>
    <x v="7"/>
    <x v="4"/>
    <x v="1"/>
  </r>
  <r>
    <x v="718"/>
    <x v="10"/>
    <x v="13"/>
    <x v="18"/>
    <n v="306.60000000000002"/>
    <x v="30"/>
    <d v="2025-01-31T00:00:00"/>
    <x v="2"/>
    <x v="3"/>
    <x v="0"/>
    <x v="0"/>
    <x v="8"/>
    <x v="7"/>
    <x v="4"/>
    <x v="2"/>
  </r>
  <r>
    <x v="719"/>
    <x v="17"/>
    <x v="5"/>
    <x v="195"/>
    <n v="359.70000000000005"/>
    <x v="30"/>
    <d v="2025-02-01T00:00:00"/>
    <x v="1"/>
    <x v="4"/>
    <x v="2"/>
    <x v="0"/>
    <x v="17"/>
    <x v="3"/>
    <x v="4"/>
    <x v="1"/>
  </r>
  <r>
    <x v="720"/>
    <x v="8"/>
    <x v="12"/>
    <x v="243"/>
    <n v="90"/>
    <x v="30"/>
    <d v="2025-01-31T00:00:00"/>
    <x v="1"/>
    <x v="0"/>
    <x v="2"/>
    <x v="0"/>
    <x v="26"/>
    <x v="7"/>
    <x v="4"/>
    <x v="1"/>
  </r>
  <r>
    <x v="721"/>
    <x v="0"/>
    <x v="3"/>
    <x v="503"/>
    <n v="102.2"/>
    <x v="30"/>
    <d v="2025-02-01T00:00:00"/>
    <x v="2"/>
    <x v="2"/>
    <x v="0"/>
    <x v="0"/>
    <x v="41"/>
    <x v="3"/>
    <x v="4"/>
    <x v="2"/>
  </r>
  <r>
    <x v="722"/>
    <x v="5"/>
    <x v="2"/>
    <x v="504"/>
    <n v="97.5"/>
    <x v="30"/>
    <d v="2025-02-03T00:00:00"/>
    <x v="1"/>
    <x v="0"/>
    <x v="0"/>
    <x v="0"/>
    <x v="10"/>
    <x v="2"/>
    <x v="4"/>
    <x v="1"/>
  </r>
  <r>
    <x v="723"/>
    <x v="18"/>
    <x v="0"/>
    <x v="505"/>
    <n v="78.099999999999994"/>
    <x v="30"/>
    <d v="2025-02-03T00:00:00"/>
    <x v="1"/>
    <x v="0"/>
    <x v="2"/>
    <x v="0"/>
    <x v="11"/>
    <x v="2"/>
    <x v="4"/>
    <x v="1"/>
  </r>
  <r>
    <x v="724"/>
    <x v="12"/>
    <x v="13"/>
    <x v="506"/>
    <n v="661.2"/>
    <x v="30"/>
    <d v="2025-01-31T00:00:00"/>
    <x v="1"/>
    <x v="1"/>
    <x v="4"/>
    <x v="0"/>
    <x v="13"/>
    <x v="7"/>
    <x v="4"/>
    <x v="1"/>
  </r>
  <r>
    <x v="725"/>
    <x v="6"/>
    <x v="2"/>
    <x v="507"/>
    <n v="258.89999999999998"/>
    <x v="30"/>
    <d v="2025-02-02T00:00:00"/>
    <x v="2"/>
    <x v="3"/>
    <x v="0"/>
    <x v="0"/>
    <x v="21"/>
    <x v="1"/>
    <x v="4"/>
    <x v="2"/>
  </r>
  <r>
    <x v="726"/>
    <x v="1"/>
    <x v="13"/>
    <x v="508"/>
    <n v="441.59999999999997"/>
    <x v="30"/>
    <d v="2025-02-02T00:00:00"/>
    <x v="3"/>
    <x v="3"/>
    <x v="4"/>
    <x v="0"/>
    <x v="44"/>
    <x v="1"/>
    <x v="4"/>
    <x v="3"/>
  </r>
  <r>
    <x v="727"/>
    <x v="6"/>
    <x v="15"/>
    <x v="509"/>
    <n v="880.1"/>
    <x v="30"/>
    <d v="2025-02-02T00:00:00"/>
    <x v="2"/>
    <x v="0"/>
    <x v="2"/>
    <x v="0"/>
    <x v="3"/>
    <x v="1"/>
    <x v="4"/>
    <x v="2"/>
  </r>
  <r>
    <x v="728"/>
    <x v="7"/>
    <x v="13"/>
    <x v="510"/>
    <n v="853.19999999999993"/>
    <x v="30"/>
    <d v="2025-02-01T00:00:00"/>
    <x v="2"/>
    <x v="2"/>
    <x v="4"/>
    <x v="0"/>
    <x v="3"/>
    <x v="3"/>
    <x v="4"/>
    <x v="2"/>
  </r>
  <r>
    <x v="729"/>
    <x v="1"/>
    <x v="11"/>
    <x v="511"/>
    <n v="412.2"/>
    <x v="30"/>
    <d v="2025-02-02T00:00:00"/>
    <x v="2"/>
    <x v="1"/>
    <x v="2"/>
    <x v="0"/>
    <x v="3"/>
    <x v="1"/>
    <x v="4"/>
    <x v="2"/>
  </r>
  <r>
    <x v="730"/>
    <x v="10"/>
    <x v="1"/>
    <x v="512"/>
    <n v="48.4"/>
    <x v="31"/>
    <d v="2025-02-04T00:00:00"/>
    <x v="2"/>
    <x v="3"/>
    <x v="2"/>
    <x v="0"/>
    <x v="3"/>
    <x v="2"/>
    <x v="4"/>
    <x v="2"/>
  </r>
  <r>
    <x v="731"/>
    <x v="2"/>
    <x v="2"/>
    <x v="513"/>
    <n v="434.70000000000005"/>
    <x v="31"/>
    <d v="2025-02-02T00:00:00"/>
    <x v="3"/>
    <x v="2"/>
    <x v="2"/>
    <x v="0"/>
    <x v="3"/>
    <x v="3"/>
    <x v="4"/>
    <x v="3"/>
  </r>
  <r>
    <x v="732"/>
    <x v="11"/>
    <x v="9"/>
    <x v="413"/>
    <n v="164"/>
    <x v="31"/>
    <d v="2025-02-04T00:00:00"/>
    <x v="2"/>
    <x v="2"/>
    <x v="0"/>
    <x v="0"/>
    <x v="23"/>
    <x v="2"/>
    <x v="4"/>
    <x v="2"/>
  </r>
  <r>
    <x v="733"/>
    <x v="7"/>
    <x v="7"/>
    <x v="8"/>
    <n v="357"/>
    <x v="31"/>
    <d v="2025-02-01T00:00:00"/>
    <x v="2"/>
    <x v="0"/>
    <x v="1"/>
    <x v="0"/>
    <x v="6"/>
    <x v="7"/>
    <x v="4"/>
    <x v="2"/>
  </r>
  <r>
    <x v="734"/>
    <x v="9"/>
    <x v="1"/>
    <x v="514"/>
    <n v="109.2"/>
    <x v="31"/>
    <d v="2025-02-02T00:00:00"/>
    <x v="2"/>
    <x v="2"/>
    <x v="0"/>
    <x v="0"/>
    <x v="6"/>
    <x v="3"/>
    <x v="4"/>
    <x v="2"/>
  </r>
  <r>
    <x v="735"/>
    <x v="8"/>
    <x v="1"/>
    <x v="8"/>
    <n v="71.400000000000006"/>
    <x v="31"/>
    <d v="2025-02-04T00:00:00"/>
    <x v="0"/>
    <x v="0"/>
    <x v="1"/>
    <x v="0"/>
    <x v="6"/>
    <x v="2"/>
    <x v="4"/>
    <x v="0"/>
  </r>
  <r>
    <x v="736"/>
    <x v="10"/>
    <x v="1"/>
    <x v="515"/>
    <n v="104.8"/>
    <x v="31"/>
    <d v="2025-02-01T00:00:00"/>
    <x v="2"/>
    <x v="0"/>
    <x v="3"/>
    <x v="0"/>
    <x v="6"/>
    <x v="7"/>
    <x v="4"/>
    <x v="2"/>
  </r>
  <r>
    <x v="737"/>
    <x v="8"/>
    <x v="21"/>
    <x v="261"/>
    <n v="226.79999999999998"/>
    <x v="31"/>
    <d v="2025-02-02T00:00:00"/>
    <x v="0"/>
    <x v="0"/>
    <x v="1"/>
    <x v="0"/>
    <x v="8"/>
    <x v="3"/>
    <x v="4"/>
    <x v="0"/>
  </r>
  <r>
    <x v="738"/>
    <x v="6"/>
    <x v="35"/>
    <x v="443"/>
    <n v="2011.6"/>
    <x v="31"/>
    <d v="2025-02-02T00:00:00"/>
    <x v="2"/>
    <x v="0"/>
    <x v="0"/>
    <x v="0"/>
    <x v="8"/>
    <x v="3"/>
    <x v="4"/>
    <x v="2"/>
  </r>
  <r>
    <x v="739"/>
    <x v="6"/>
    <x v="11"/>
    <x v="516"/>
    <n v="1299.6000000000001"/>
    <x v="31"/>
    <d v="2025-02-04T00:00:00"/>
    <x v="2"/>
    <x v="4"/>
    <x v="0"/>
    <x v="0"/>
    <x v="8"/>
    <x v="2"/>
    <x v="4"/>
    <x v="2"/>
  </r>
  <r>
    <x v="740"/>
    <x v="3"/>
    <x v="34"/>
    <x v="1"/>
    <n v="1101.6000000000001"/>
    <x v="31"/>
    <d v="2025-02-05T00:00:00"/>
    <x v="2"/>
    <x v="2"/>
    <x v="2"/>
    <x v="0"/>
    <x v="11"/>
    <x v="5"/>
    <x v="4"/>
    <x v="2"/>
  </r>
  <r>
    <x v="741"/>
    <x v="2"/>
    <x v="1"/>
    <x v="517"/>
    <n v="235"/>
    <x v="31"/>
    <d v="2025-02-02T00:00:00"/>
    <x v="1"/>
    <x v="0"/>
    <x v="0"/>
    <x v="0"/>
    <x v="19"/>
    <x v="3"/>
    <x v="4"/>
    <x v="1"/>
  </r>
  <r>
    <x v="742"/>
    <x v="6"/>
    <x v="1"/>
    <x v="518"/>
    <n v="211.4"/>
    <x v="31"/>
    <d v="2025-02-02T00:00:00"/>
    <x v="2"/>
    <x v="2"/>
    <x v="2"/>
    <x v="0"/>
    <x v="21"/>
    <x v="3"/>
    <x v="4"/>
    <x v="2"/>
  </r>
  <r>
    <x v="743"/>
    <x v="3"/>
    <x v="2"/>
    <x v="519"/>
    <n v="401.09999999999997"/>
    <x v="31"/>
    <d v="2025-02-02T00:00:00"/>
    <x v="0"/>
    <x v="4"/>
    <x v="2"/>
    <x v="0"/>
    <x v="21"/>
    <x v="3"/>
    <x v="4"/>
    <x v="0"/>
  </r>
  <r>
    <x v="744"/>
    <x v="4"/>
    <x v="9"/>
    <x v="84"/>
    <n v="234"/>
    <x v="32"/>
    <d v="2025-02-10T00:00:00"/>
    <x v="2"/>
    <x v="0"/>
    <x v="1"/>
    <x v="0"/>
    <x v="21"/>
    <x v="9"/>
    <x v="5"/>
    <x v="2"/>
  </r>
  <r>
    <x v="745"/>
    <x v="10"/>
    <x v="2"/>
    <x v="277"/>
    <n v="175.2"/>
    <x v="32"/>
    <d v="2025-02-04T00:00:00"/>
    <x v="2"/>
    <x v="0"/>
    <x v="0"/>
    <x v="0"/>
    <x v="1"/>
    <x v="1"/>
    <x v="5"/>
    <x v="2"/>
  </r>
  <r>
    <x v="746"/>
    <x v="6"/>
    <x v="11"/>
    <x v="146"/>
    <n v="585.9"/>
    <x v="32"/>
    <d v="2025-02-06T00:00:00"/>
    <x v="1"/>
    <x v="1"/>
    <x v="2"/>
    <x v="0"/>
    <x v="22"/>
    <x v="5"/>
    <x v="5"/>
    <x v="1"/>
  </r>
  <r>
    <x v="747"/>
    <x v="8"/>
    <x v="0"/>
    <x v="465"/>
    <n v="18.600000000000001"/>
    <x v="32"/>
    <d v="2025-02-05T00:00:00"/>
    <x v="2"/>
    <x v="0"/>
    <x v="4"/>
    <x v="0"/>
    <x v="22"/>
    <x v="2"/>
    <x v="5"/>
    <x v="2"/>
  </r>
  <r>
    <x v="748"/>
    <x v="1"/>
    <x v="5"/>
    <x v="520"/>
    <n v="1015.3"/>
    <x v="32"/>
    <d v="2025-02-04T00:00:00"/>
    <x v="1"/>
    <x v="1"/>
    <x v="0"/>
    <x v="0"/>
    <x v="3"/>
    <x v="1"/>
    <x v="5"/>
    <x v="1"/>
  </r>
  <r>
    <x v="749"/>
    <x v="6"/>
    <x v="2"/>
    <x v="521"/>
    <n v="245.10000000000002"/>
    <x v="32"/>
    <d v="2025-02-03T00:00:00"/>
    <x v="0"/>
    <x v="4"/>
    <x v="4"/>
    <x v="0"/>
    <x v="3"/>
    <x v="3"/>
    <x v="5"/>
    <x v="0"/>
  </r>
  <r>
    <x v="750"/>
    <x v="8"/>
    <x v="1"/>
    <x v="446"/>
    <n v="81.8"/>
    <x v="32"/>
    <d v="2025-02-04T00:00:00"/>
    <x v="1"/>
    <x v="0"/>
    <x v="1"/>
    <x v="0"/>
    <x v="3"/>
    <x v="1"/>
    <x v="5"/>
    <x v="1"/>
  </r>
  <r>
    <x v="751"/>
    <x v="6"/>
    <x v="12"/>
    <x v="522"/>
    <n v="172.8"/>
    <x v="32"/>
    <d v="2025-02-08T00:00:00"/>
    <x v="2"/>
    <x v="0"/>
    <x v="1"/>
    <x v="0"/>
    <x v="3"/>
    <x v="4"/>
    <x v="5"/>
    <x v="2"/>
  </r>
  <r>
    <x v="752"/>
    <x v="8"/>
    <x v="5"/>
    <x v="136"/>
    <n v="283.8"/>
    <x v="32"/>
    <d v="2025-02-05T00:00:00"/>
    <x v="1"/>
    <x v="2"/>
    <x v="1"/>
    <x v="0"/>
    <x v="3"/>
    <x v="2"/>
    <x v="5"/>
    <x v="1"/>
  </r>
  <r>
    <x v="753"/>
    <x v="15"/>
    <x v="12"/>
    <x v="128"/>
    <n v="145.6"/>
    <x v="32"/>
    <d v="2025-02-03T00:00:00"/>
    <x v="1"/>
    <x v="0"/>
    <x v="0"/>
    <x v="0"/>
    <x v="3"/>
    <x v="3"/>
    <x v="5"/>
    <x v="1"/>
  </r>
  <r>
    <x v="754"/>
    <x v="10"/>
    <x v="0"/>
    <x v="523"/>
    <n v="59.1"/>
    <x v="32"/>
    <d v="2025-02-03T00:00:00"/>
    <x v="2"/>
    <x v="2"/>
    <x v="0"/>
    <x v="0"/>
    <x v="7"/>
    <x v="3"/>
    <x v="5"/>
    <x v="2"/>
  </r>
  <r>
    <x v="755"/>
    <x v="2"/>
    <x v="14"/>
    <x v="417"/>
    <n v="1266.5"/>
    <x v="32"/>
    <d v="2025-02-04T00:00:00"/>
    <x v="1"/>
    <x v="4"/>
    <x v="0"/>
    <x v="0"/>
    <x v="18"/>
    <x v="1"/>
    <x v="5"/>
    <x v="1"/>
  </r>
  <r>
    <x v="756"/>
    <x v="5"/>
    <x v="0"/>
    <x v="524"/>
    <n v="72.8"/>
    <x v="32"/>
    <d v="2025-02-03T00:00:00"/>
    <x v="2"/>
    <x v="0"/>
    <x v="1"/>
    <x v="0"/>
    <x v="19"/>
    <x v="3"/>
    <x v="5"/>
    <x v="2"/>
  </r>
  <r>
    <x v="757"/>
    <x v="6"/>
    <x v="12"/>
    <x v="525"/>
    <n v="549.20000000000005"/>
    <x v="32"/>
    <d v="2025-02-05T00:00:00"/>
    <x v="2"/>
    <x v="0"/>
    <x v="0"/>
    <x v="0"/>
    <x v="13"/>
    <x v="2"/>
    <x v="5"/>
    <x v="2"/>
  </r>
  <r>
    <x v="758"/>
    <x v="1"/>
    <x v="2"/>
    <x v="242"/>
    <n v="146.10000000000002"/>
    <x v="32"/>
    <d v="2025-02-07T00:00:00"/>
    <x v="2"/>
    <x v="0"/>
    <x v="1"/>
    <x v="0"/>
    <x v="21"/>
    <x v="0"/>
    <x v="5"/>
    <x v="2"/>
  </r>
  <r>
    <x v="759"/>
    <x v="6"/>
    <x v="12"/>
    <x v="526"/>
    <n v="214.8"/>
    <x v="32"/>
    <d v="2025-02-06T00:00:00"/>
    <x v="1"/>
    <x v="1"/>
    <x v="4"/>
    <x v="0"/>
    <x v="2"/>
    <x v="5"/>
    <x v="5"/>
    <x v="1"/>
  </r>
  <r>
    <x v="760"/>
    <x v="2"/>
    <x v="3"/>
    <x v="320"/>
    <n v="706.30000000000007"/>
    <x v="32"/>
    <d v="2025-02-04T00:00:00"/>
    <x v="2"/>
    <x v="0"/>
    <x v="1"/>
    <x v="0"/>
    <x v="2"/>
    <x v="1"/>
    <x v="5"/>
    <x v="2"/>
  </r>
  <r>
    <x v="761"/>
    <x v="10"/>
    <x v="1"/>
    <x v="80"/>
    <n v="83.6"/>
    <x v="32"/>
    <d v="2025-02-06T00:00:00"/>
    <x v="1"/>
    <x v="3"/>
    <x v="2"/>
    <x v="0"/>
    <x v="22"/>
    <x v="5"/>
    <x v="5"/>
    <x v="1"/>
  </r>
  <r>
    <x v="762"/>
    <x v="4"/>
    <x v="8"/>
    <x v="365"/>
    <n v="228"/>
    <x v="32"/>
    <d v="2025-02-04T00:00:00"/>
    <x v="1"/>
    <x v="2"/>
    <x v="1"/>
    <x v="0"/>
    <x v="3"/>
    <x v="1"/>
    <x v="5"/>
    <x v="1"/>
  </r>
  <r>
    <x v="763"/>
    <x v="7"/>
    <x v="12"/>
    <x v="527"/>
    <n v="355.6"/>
    <x v="32"/>
    <d v="2025-02-05T00:00:00"/>
    <x v="2"/>
    <x v="0"/>
    <x v="2"/>
    <x v="0"/>
    <x v="3"/>
    <x v="2"/>
    <x v="5"/>
    <x v="2"/>
  </r>
  <r>
    <x v="764"/>
    <x v="6"/>
    <x v="0"/>
    <x v="366"/>
    <n v="62.5"/>
    <x v="32"/>
    <d v="2025-02-11T00:00:00"/>
    <x v="2"/>
    <x v="0"/>
    <x v="2"/>
    <x v="0"/>
    <x v="3"/>
    <x v="8"/>
    <x v="5"/>
    <x v="2"/>
  </r>
  <r>
    <x v="765"/>
    <x v="1"/>
    <x v="2"/>
    <x v="528"/>
    <n v="140.69999999999999"/>
    <x v="32"/>
    <d v="2025-02-03T00:00:00"/>
    <x v="1"/>
    <x v="0"/>
    <x v="2"/>
    <x v="0"/>
    <x v="3"/>
    <x v="3"/>
    <x v="5"/>
    <x v="1"/>
  </r>
  <r>
    <x v="766"/>
    <x v="8"/>
    <x v="2"/>
    <x v="303"/>
    <n v="135"/>
    <x v="32"/>
    <d v="2025-02-16T00:00:00"/>
    <x v="1"/>
    <x v="1"/>
    <x v="0"/>
    <x v="0"/>
    <x v="3"/>
    <x v="12"/>
    <x v="5"/>
    <x v="1"/>
  </r>
  <r>
    <x v="767"/>
    <x v="6"/>
    <x v="2"/>
    <x v="291"/>
    <n v="135.60000000000002"/>
    <x v="32"/>
    <d v="2025-02-04T00:00:00"/>
    <x v="1"/>
    <x v="4"/>
    <x v="2"/>
    <x v="0"/>
    <x v="3"/>
    <x v="1"/>
    <x v="5"/>
    <x v="1"/>
  </r>
  <r>
    <x v="768"/>
    <x v="4"/>
    <x v="1"/>
    <x v="110"/>
    <n v="120.2"/>
    <x v="32"/>
    <d v="2025-02-03T00:00:00"/>
    <x v="2"/>
    <x v="0"/>
    <x v="2"/>
    <x v="0"/>
    <x v="3"/>
    <x v="3"/>
    <x v="5"/>
    <x v="2"/>
  </r>
  <r>
    <x v="769"/>
    <x v="12"/>
    <x v="12"/>
    <x v="529"/>
    <n v="474.8"/>
    <x v="32"/>
    <d v="2025-02-04T00:00:00"/>
    <x v="2"/>
    <x v="0"/>
    <x v="0"/>
    <x v="0"/>
    <x v="3"/>
    <x v="1"/>
    <x v="5"/>
    <x v="2"/>
  </r>
  <r>
    <x v="770"/>
    <x v="9"/>
    <x v="0"/>
    <x v="211"/>
    <n v="57.8"/>
    <x v="32"/>
    <d v="2025-02-11T00:00:00"/>
    <x v="2"/>
    <x v="1"/>
    <x v="0"/>
    <x v="0"/>
    <x v="3"/>
    <x v="8"/>
    <x v="5"/>
    <x v="2"/>
  </r>
  <r>
    <x v="771"/>
    <x v="4"/>
    <x v="0"/>
    <x v="415"/>
    <n v="19.5"/>
    <x v="32"/>
    <d v="2025-02-03T00:00:00"/>
    <x v="1"/>
    <x v="1"/>
    <x v="1"/>
    <x v="0"/>
    <x v="3"/>
    <x v="3"/>
    <x v="5"/>
    <x v="1"/>
  </r>
  <r>
    <x v="772"/>
    <x v="12"/>
    <x v="0"/>
    <x v="325"/>
    <n v="42.6"/>
    <x v="32"/>
    <d v="2025-02-03T00:00:00"/>
    <x v="1"/>
    <x v="0"/>
    <x v="1"/>
    <x v="0"/>
    <x v="3"/>
    <x v="3"/>
    <x v="5"/>
    <x v="1"/>
  </r>
  <r>
    <x v="773"/>
    <x v="6"/>
    <x v="1"/>
    <x v="91"/>
    <n v="149.6"/>
    <x v="32"/>
    <d v="2025-02-03T00:00:00"/>
    <x v="2"/>
    <x v="3"/>
    <x v="2"/>
    <x v="0"/>
    <x v="37"/>
    <x v="3"/>
    <x v="5"/>
    <x v="2"/>
  </r>
  <r>
    <x v="774"/>
    <x v="8"/>
    <x v="2"/>
    <x v="504"/>
    <n v="97.5"/>
    <x v="32"/>
    <d v="2025-02-03T00:00:00"/>
    <x v="1"/>
    <x v="2"/>
    <x v="4"/>
    <x v="0"/>
    <x v="16"/>
    <x v="3"/>
    <x v="5"/>
    <x v="1"/>
  </r>
  <r>
    <x v="775"/>
    <x v="2"/>
    <x v="2"/>
    <x v="530"/>
    <n v="181.5"/>
    <x v="32"/>
    <d v="2025-02-02T00:00:00"/>
    <x v="2"/>
    <x v="1"/>
    <x v="2"/>
    <x v="0"/>
    <x v="25"/>
    <x v="7"/>
    <x v="5"/>
    <x v="2"/>
  </r>
  <r>
    <x v="776"/>
    <x v="1"/>
    <x v="3"/>
    <x v="27"/>
    <n v="400.40000000000003"/>
    <x v="32"/>
    <d v="2025-02-04T00:00:00"/>
    <x v="0"/>
    <x v="2"/>
    <x v="0"/>
    <x v="0"/>
    <x v="25"/>
    <x v="1"/>
    <x v="5"/>
    <x v="0"/>
  </r>
  <r>
    <x v="777"/>
    <x v="16"/>
    <x v="1"/>
    <x v="531"/>
    <n v="224"/>
    <x v="32"/>
    <d v="2025-02-03T00:00:00"/>
    <x v="2"/>
    <x v="1"/>
    <x v="1"/>
    <x v="0"/>
    <x v="5"/>
    <x v="3"/>
    <x v="5"/>
    <x v="2"/>
  </r>
  <r>
    <x v="778"/>
    <x v="7"/>
    <x v="7"/>
    <x v="11"/>
    <n v="490"/>
    <x v="32"/>
    <d v="2025-02-03T00:00:00"/>
    <x v="3"/>
    <x v="2"/>
    <x v="1"/>
    <x v="0"/>
    <x v="6"/>
    <x v="3"/>
    <x v="5"/>
    <x v="3"/>
  </r>
  <r>
    <x v="779"/>
    <x v="0"/>
    <x v="1"/>
    <x v="532"/>
    <n v="67.400000000000006"/>
    <x v="32"/>
    <d v="2025-02-06T00:00:00"/>
    <x v="2"/>
    <x v="3"/>
    <x v="0"/>
    <x v="0"/>
    <x v="6"/>
    <x v="5"/>
    <x v="5"/>
    <x v="2"/>
  </r>
  <r>
    <x v="780"/>
    <x v="4"/>
    <x v="2"/>
    <x v="533"/>
    <n v="106.80000000000001"/>
    <x v="32"/>
    <d v="2025-02-05T00:00:00"/>
    <x v="2"/>
    <x v="0"/>
    <x v="2"/>
    <x v="0"/>
    <x v="6"/>
    <x v="2"/>
    <x v="5"/>
    <x v="2"/>
  </r>
  <r>
    <x v="781"/>
    <x v="4"/>
    <x v="36"/>
    <x v="248"/>
    <n v="1064"/>
    <x v="33"/>
    <d v="2025-02-03T00:00:00"/>
    <x v="2"/>
    <x v="0"/>
    <x v="1"/>
    <x v="0"/>
    <x v="7"/>
    <x v="7"/>
    <x v="5"/>
    <x v="2"/>
  </r>
  <r>
    <x v="782"/>
    <x v="10"/>
    <x v="4"/>
    <x v="534"/>
    <n v="602.40000000000009"/>
    <x v="33"/>
    <d v="2025-02-04T00:00:00"/>
    <x v="1"/>
    <x v="4"/>
    <x v="0"/>
    <x v="0"/>
    <x v="8"/>
    <x v="3"/>
    <x v="5"/>
    <x v="1"/>
  </r>
  <r>
    <x v="783"/>
    <x v="1"/>
    <x v="1"/>
    <x v="535"/>
    <n v="87.4"/>
    <x v="33"/>
    <d v="2025-02-05T00:00:00"/>
    <x v="2"/>
    <x v="0"/>
    <x v="0"/>
    <x v="0"/>
    <x v="8"/>
    <x v="1"/>
    <x v="5"/>
    <x v="2"/>
  </r>
  <r>
    <x v="784"/>
    <x v="10"/>
    <x v="0"/>
    <x v="57"/>
    <n v="33.299999999999997"/>
    <x v="33"/>
    <d v="2025-02-04T00:00:00"/>
    <x v="2"/>
    <x v="2"/>
    <x v="1"/>
    <x v="0"/>
    <x v="8"/>
    <x v="3"/>
    <x v="5"/>
    <x v="2"/>
  </r>
  <r>
    <x v="785"/>
    <x v="8"/>
    <x v="12"/>
    <x v="536"/>
    <n v="60.4"/>
    <x v="33"/>
    <d v="2025-02-05T00:00:00"/>
    <x v="2"/>
    <x v="4"/>
    <x v="2"/>
    <x v="0"/>
    <x v="8"/>
    <x v="1"/>
    <x v="5"/>
    <x v="2"/>
  </r>
  <r>
    <x v="786"/>
    <x v="6"/>
    <x v="9"/>
    <x v="537"/>
    <n v="591"/>
    <x v="33"/>
    <d v="2025-02-04T00:00:00"/>
    <x v="2"/>
    <x v="3"/>
    <x v="4"/>
    <x v="0"/>
    <x v="8"/>
    <x v="3"/>
    <x v="5"/>
    <x v="2"/>
  </r>
  <r>
    <x v="787"/>
    <x v="10"/>
    <x v="2"/>
    <x v="538"/>
    <n v="86.699999999999989"/>
    <x v="33"/>
    <d v="2025-02-05T00:00:00"/>
    <x v="2"/>
    <x v="2"/>
    <x v="1"/>
    <x v="0"/>
    <x v="8"/>
    <x v="1"/>
    <x v="5"/>
    <x v="2"/>
  </r>
  <r>
    <x v="788"/>
    <x v="4"/>
    <x v="2"/>
    <x v="495"/>
    <n v="166.8"/>
    <x v="33"/>
    <d v="2025-02-04T00:00:00"/>
    <x v="1"/>
    <x v="0"/>
    <x v="1"/>
    <x v="0"/>
    <x v="8"/>
    <x v="3"/>
    <x v="5"/>
    <x v="1"/>
  </r>
  <r>
    <x v="789"/>
    <x v="9"/>
    <x v="12"/>
    <x v="170"/>
    <n v="102.4"/>
    <x v="33"/>
    <d v="2025-02-05T00:00:00"/>
    <x v="2"/>
    <x v="0"/>
    <x v="1"/>
    <x v="0"/>
    <x v="8"/>
    <x v="1"/>
    <x v="5"/>
    <x v="2"/>
  </r>
  <r>
    <x v="790"/>
    <x v="7"/>
    <x v="2"/>
    <x v="375"/>
    <n v="93.9"/>
    <x v="33"/>
    <d v="2025-02-04T00:00:00"/>
    <x v="1"/>
    <x v="0"/>
    <x v="0"/>
    <x v="0"/>
    <x v="17"/>
    <x v="3"/>
    <x v="5"/>
    <x v="1"/>
  </r>
  <r>
    <x v="791"/>
    <x v="0"/>
    <x v="2"/>
    <x v="237"/>
    <n v="66.300000000000011"/>
    <x v="33"/>
    <d v="2025-02-07T00:00:00"/>
    <x v="1"/>
    <x v="0"/>
    <x v="0"/>
    <x v="0"/>
    <x v="17"/>
    <x v="5"/>
    <x v="5"/>
    <x v="1"/>
  </r>
  <r>
    <x v="792"/>
    <x v="2"/>
    <x v="21"/>
    <x v="539"/>
    <n v="1391.6000000000001"/>
    <x v="33"/>
    <d v="2025-02-04T00:00:00"/>
    <x v="1"/>
    <x v="1"/>
    <x v="0"/>
    <x v="0"/>
    <x v="11"/>
    <x v="3"/>
    <x v="5"/>
    <x v="1"/>
  </r>
  <r>
    <x v="793"/>
    <x v="7"/>
    <x v="13"/>
    <x v="450"/>
    <n v="399.59999999999997"/>
    <x v="33"/>
    <d v="2025-02-04T00:00:00"/>
    <x v="2"/>
    <x v="0"/>
    <x v="0"/>
    <x v="0"/>
    <x v="11"/>
    <x v="3"/>
    <x v="5"/>
    <x v="2"/>
  </r>
  <r>
    <x v="794"/>
    <x v="8"/>
    <x v="1"/>
    <x v="351"/>
    <n v="45.2"/>
    <x v="33"/>
    <d v="2025-02-06T00:00:00"/>
    <x v="1"/>
    <x v="0"/>
    <x v="0"/>
    <x v="0"/>
    <x v="11"/>
    <x v="2"/>
    <x v="5"/>
    <x v="1"/>
  </r>
  <r>
    <x v="795"/>
    <x v="2"/>
    <x v="16"/>
    <x v="114"/>
    <n v="1202.3999999999999"/>
    <x v="33"/>
    <d v="2025-02-04T00:00:00"/>
    <x v="2"/>
    <x v="0"/>
    <x v="4"/>
    <x v="0"/>
    <x v="13"/>
    <x v="3"/>
    <x v="5"/>
    <x v="2"/>
  </r>
  <r>
    <x v="796"/>
    <x v="0"/>
    <x v="12"/>
    <x v="390"/>
    <n v="83.2"/>
    <x v="33"/>
    <d v="2025-02-10T00:00:00"/>
    <x v="1"/>
    <x v="1"/>
    <x v="4"/>
    <x v="0"/>
    <x v="1"/>
    <x v="6"/>
    <x v="5"/>
    <x v="1"/>
  </r>
  <r>
    <x v="797"/>
    <x v="2"/>
    <x v="3"/>
    <x v="540"/>
    <n v="717.5"/>
    <x v="33"/>
    <d v="2025-02-04T00:00:00"/>
    <x v="2"/>
    <x v="4"/>
    <x v="2"/>
    <x v="0"/>
    <x v="3"/>
    <x v="3"/>
    <x v="5"/>
    <x v="2"/>
  </r>
  <r>
    <x v="798"/>
    <x v="0"/>
    <x v="16"/>
    <x v="486"/>
    <n v="446.40000000000003"/>
    <x v="33"/>
    <d v="2025-02-07T00:00:00"/>
    <x v="2"/>
    <x v="0"/>
    <x v="0"/>
    <x v="0"/>
    <x v="3"/>
    <x v="5"/>
    <x v="5"/>
    <x v="2"/>
  </r>
  <r>
    <x v="799"/>
    <x v="4"/>
    <x v="37"/>
    <x v="541"/>
    <n v="973.4"/>
    <x v="33"/>
    <d v="2025-02-04T00:00:00"/>
    <x v="2"/>
    <x v="3"/>
    <x v="0"/>
    <x v="0"/>
    <x v="3"/>
    <x v="3"/>
    <x v="5"/>
    <x v="2"/>
  </r>
  <r>
    <x v="800"/>
    <x v="9"/>
    <x v="9"/>
    <x v="542"/>
    <n v="296.5"/>
    <x v="33"/>
    <d v="2025-02-06T00:00:00"/>
    <x v="1"/>
    <x v="1"/>
    <x v="2"/>
    <x v="0"/>
    <x v="43"/>
    <x v="2"/>
    <x v="5"/>
    <x v="1"/>
  </r>
  <r>
    <x v="801"/>
    <x v="11"/>
    <x v="13"/>
    <x v="37"/>
    <n v="234"/>
    <x v="33"/>
    <d v="2025-02-06T00:00:00"/>
    <x v="1"/>
    <x v="1"/>
    <x v="0"/>
    <x v="0"/>
    <x v="6"/>
    <x v="2"/>
    <x v="5"/>
    <x v="1"/>
  </r>
  <r>
    <x v="802"/>
    <x v="5"/>
    <x v="13"/>
    <x v="543"/>
    <n v="591.59999999999991"/>
    <x v="33"/>
    <d v="2025-02-05T00:00:00"/>
    <x v="2"/>
    <x v="1"/>
    <x v="0"/>
    <x v="0"/>
    <x v="6"/>
    <x v="1"/>
    <x v="5"/>
    <x v="2"/>
  </r>
  <r>
    <x v="803"/>
    <x v="8"/>
    <x v="0"/>
    <x v="490"/>
    <n v="20"/>
    <x v="34"/>
    <d v="2025-02-05T00:00:00"/>
    <x v="1"/>
    <x v="3"/>
    <x v="2"/>
    <x v="0"/>
    <x v="8"/>
    <x v="3"/>
    <x v="5"/>
    <x v="1"/>
  </r>
  <r>
    <x v="804"/>
    <x v="1"/>
    <x v="1"/>
    <x v="429"/>
    <n v="85.8"/>
    <x v="34"/>
    <d v="2025-02-06T00:00:00"/>
    <x v="2"/>
    <x v="0"/>
    <x v="2"/>
    <x v="0"/>
    <x v="8"/>
    <x v="1"/>
    <x v="5"/>
    <x v="2"/>
  </r>
  <r>
    <x v="805"/>
    <x v="7"/>
    <x v="3"/>
    <x v="495"/>
    <n v="389.2"/>
    <x v="34"/>
    <d v="2025-02-06T00:00:00"/>
    <x v="2"/>
    <x v="2"/>
    <x v="1"/>
    <x v="0"/>
    <x v="8"/>
    <x v="1"/>
    <x v="5"/>
    <x v="2"/>
  </r>
  <r>
    <x v="806"/>
    <x v="8"/>
    <x v="12"/>
    <x v="359"/>
    <n v="76.8"/>
    <x v="34"/>
    <d v="2025-02-09T00:00:00"/>
    <x v="2"/>
    <x v="0"/>
    <x v="0"/>
    <x v="0"/>
    <x v="41"/>
    <x v="0"/>
    <x v="5"/>
    <x v="2"/>
  </r>
  <r>
    <x v="807"/>
    <x v="5"/>
    <x v="1"/>
    <x v="144"/>
    <n v="57.6"/>
    <x v="34"/>
    <d v="2025-02-06T00:00:00"/>
    <x v="1"/>
    <x v="1"/>
    <x v="0"/>
    <x v="0"/>
    <x v="18"/>
    <x v="1"/>
    <x v="5"/>
    <x v="1"/>
  </r>
  <r>
    <x v="808"/>
    <x v="4"/>
    <x v="0"/>
    <x v="47"/>
    <n v="29.7"/>
    <x v="34"/>
    <d v="2025-02-06T00:00:00"/>
    <x v="2"/>
    <x v="2"/>
    <x v="4"/>
    <x v="0"/>
    <x v="20"/>
    <x v="1"/>
    <x v="5"/>
    <x v="2"/>
  </r>
  <r>
    <x v="809"/>
    <x v="6"/>
    <x v="13"/>
    <x v="113"/>
    <n v="379.79999999999995"/>
    <x v="34"/>
    <d v="2025-02-05T00:00:00"/>
    <x v="0"/>
    <x v="0"/>
    <x v="2"/>
    <x v="0"/>
    <x v="21"/>
    <x v="3"/>
    <x v="5"/>
    <x v="0"/>
  </r>
  <r>
    <x v="810"/>
    <x v="4"/>
    <x v="0"/>
    <x v="544"/>
    <n v="46"/>
    <x v="34"/>
    <d v="2025-02-05T00:00:00"/>
    <x v="2"/>
    <x v="0"/>
    <x v="2"/>
    <x v="0"/>
    <x v="21"/>
    <x v="3"/>
    <x v="5"/>
    <x v="2"/>
  </r>
  <r>
    <x v="811"/>
    <x v="11"/>
    <x v="2"/>
    <x v="545"/>
    <n v="114"/>
    <x v="34"/>
    <d v="2025-02-06T00:00:00"/>
    <x v="2"/>
    <x v="1"/>
    <x v="2"/>
    <x v="0"/>
    <x v="21"/>
    <x v="1"/>
    <x v="5"/>
    <x v="2"/>
  </r>
  <r>
    <x v="812"/>
    <x v="10"/>
    <x v="15"/>
    <x v="292"/>
    <n v="449.8"/>
    <x v="34"/>
    <d v="2025-02-06T00:00:00"/>
    <x v="2"/>
    <x v="0"/>
    <x v="1"/>
    <x v="0"/>
    <x v="21"/>
    <x v="1"/>
    <x v="5"/>
    <x v="2"/>
  </r>
  <r>
    <x v="813"/>
    <x v="3"/>
    <x v="7"/>
    <x v="546"/>
    <n v="797"/>
    <x v="34"/>
    <d v="2025-02-05T00:00:00"/>
    <x v="2"/>
    <x v="4"/>
    <x v="1"/>
    <x v="0"/>
    <x v="21"/>
    <x v="3"/>
    <x v="5"/>
    <x v="2"/>
  </r>
  <r>
    <x v="814"/>
    <x v="8"/>
    <x v="8"/>
    <x v="162"/>
    <n v="244"/>
    <x v="34"/>
    <d v="2025-02-08T00:00:00"/>
    <x v="1"/>
    <x v="3"/>
    <x v="0"/>
    <x v="0"/>
    <x v="1"/>
    <x v="5"/>
    <x v="5"/>
    <x v="1"/>
  </r>
  <r>
    <x v="815"/>
    <x v="0"/>
    <x v="1"/>
    <x v="390"/>
    <n v="41.6"/>
    <x v="34"/>
    <d v="2025-02-05T00:00:00"/>
    <x v="2"/>
    <x v="0"/>
    <x v="0"/>
    <x v="0"/>
    <x v="2"/>
    <x v="3"/>
    <x v="5"/>
    <x v="2"/>
  </r>
  <r>
    <x v="816"/>
    <x v="11"/>
    <x v="3"/>
    <x v="286"/>
    <n v="339.5"/>
    <x v="34"/>
    <d v="2025-02-08T00:00:00"/>
    <x v="2"/>
    <x v="2"/>
    <x v="2"/>
    <x v="0"/>
    <x v="2"/>
    <x v="5"/>
    <x v="5"/>
    <x v="2"/>
  </r>
  <r>
    <x v="817"/>
    <x v="2"/>
    <x v="12"/>
    <x v="547"/>
    <n v="247.2"/>
    <x v="34"/>
    <d v="2025-02-08T00:00:00"/>
    <x v="2"/>
    <x v="4"/>
    <x v="0"/>
    <x v="0"/>
    <x v="22"/>
    <x v="5"/>
    <x v="5"/>
    <x v="2"/>
  </r>
  <r>
    <x v="818"/>
    <x v="10"/>
    <x v="0"/>
    <x v="354"/>
    <n v="46.1"/>
    <x v="34"/>
    <d v="2025-02-05T00:00:00"/>
    <x v="3"/>
    <x v="2"/>
    <x v="0"/>
    <x v="0"/>
    <x v="3"/>
    <x v="3"/>
    <x v="5"/>
    <x v="3"/>
  </r>
  <r>
    <x v="819"/>
    <x v="4"/>
    <x v="13"/>
    <x v="548"/>
    <n v="264"/>
    <x v="34"/>
    <d v="2025-02-05T00:00:00"/>
    <x v="2"/>
    <x v="0"/>
    <x v="0"/>
    <x v="0"/>
    <x v="3"/>
    <x v="3"/>
    <x v="5"/>
    <x v="2"/>
  </r>
  <r>
    <x v="820"/>
    <x v="18"/>
    <x v="1"/>
    <x v="549"/>
    <n v="191.4"/>
    <x v="34"/>
    <d v="2025-02-10T00:00:00"/>
    <x v="2"/>
    <x v="3"/>
    <x v="2"/>
    <x v="0"/>
    <x v="3"/>
    <x v="4"/>
    <x v="5"/>
    <x v="2"/>
  </r>
  <r>
    <x v="821"/>
    <x v="7"/>
    <x v="9"/>
    <x v="340"/>
    <n v="232"/>
    <x v="34"/>
    <d v="2025-02-07T00:00:00"/>
    <x v="2"/>
    <x v="0"/>
    <x v="0"/>
    <x v="0"/>
    <x v="3"/>
    <x v="2"/>
    <x v="5"/>
    <x v="2"/>
  </r>
  <r>
    <x v="822"/>
    <x v="6"/>
    <x v="1"/>
    <x v="550"/>
    <n v="94.4"/>
    <x v="34"/>
    <d v="2025-02-06T00:00:00"/>
    <x v="2"/>
    <x v="0"/>
    <x v="2"/>
    <x v="0"/>
    <x v="3"/>
    <x v="1"/>
    <x v="5"/>
    <x v="2"/>
  </r>
  <r>
    <x v="823"/>
    <x v="7"/>
    <x v="1"/>
    <x v="75"/>
    <n v="117.2"/>
    <x v="34"/>
    <d v="2025-02-05T00:00:00"/>
    <x v="2"/>
    <x v="2"/>
    <x v="1"/>
    <x v="0"/>
    <x v="3"/>
    <x v="3"/>
    <x v="5"/>
    <x v="2"/>
  </r>
  <r>
    <x v="824"/>
    <x v="4"/>
    <x v="2"/>
    <x v="551"/>
    <n v="171"/>
    <x v="34"/>
    <d v="2025-02-05T00:00:00"/>
    <x v="1"/>
    <x v="0"/>
    <x v="2"/>
    <x v="0"/>
    <x v="3"/>
    <x v="3"/>
    <x v="5"/>
    <x v="1"/>
  </r>
  <r>
    <x v="825"/>
    <x v="8"/>
    <x v="12"/>
    <x v="538"/>
    <n v="115.6"/>
    <x v="34"/>
    <d v="2025-02-08T00:00:00"/>
    <x v="1"/>
    <x v="2"/>
    <x v="0"/>
    <x v="0"/>
    <x v="3"/>
    <x v="5"/>
    <x v="5"/>
    <x v="1"/>
  </r>
  <r>
    <x v="826"/>
    <x v="12"/>
    <x v="9"/>
    <x v="552"/>
    <n v="303.5"/>
    <x v="34"/>
    <d v="2025-02-08T00:00:00"/>
    <x v="0"/>
    <x v="1"/>
    <x v="1"/>
    <x v="0"/>
    <x v="3"/>
    <x v="5"/>
    <x v="5"/>
    <x v="0"/>
  </r>
  <r>
    <x v="827"/>
    <x v="6"/>
    <x v="9"/>
    <x v="553"/>
    <n v="304"/>
    <x v="34"/>
    <d v="2025-02-08T00:00:00"/>
    <x v="1"/>
    <x v="0"/>
    <x v="1"/>
    <x v="0"/>
    <x v="3"/>
    <x v="5"/>
    <x v="5"/>
    <x v="1"/>
  </r>
  <r>
    <x v="828"/>
    <x v="6"/>
    <x v="9"/>
    <x v="554"/>
    <n v="323"/>
    <x v="34"/>
    <d v="2025-02-05T00:00:00"/>
    <x v="2"/>
    <x v="3"/>
    <x v="0"/>
    <x v="0"/>
    <x v="3"/>
    <x v="3"/>
    <x v="5"/>
    <x v="2"/>
  </r>
  <r>
    <x v="829"/>
    <x v="8"/>
    <x v="0"/>
    <x v="421"/>
    <n v="21.9"/>
    <x v="34"/>
    <d v="2025-02-07T00:00:00"/>
    <x v="1"/>
    <x v="1"/>
    <x v="2"/>
    <x v="0"/>
    <x v="4"/>
    <x v="2"/>
    <x v="5"/>
    <x v="1"/>
  </r>
  <r>
    <x v="830"/>
    <x v="4"/>
    <x v="4"/>
    <x v="172"/>
    <n v="400.79999999999995"/>
    <x v="34"/>
    <d v="2025-02-06T00:00:00"/>
    <x v="2"/>
    <x v="0"/>
    <x v="0"/>
    <x v="0"/>
    <x v="23"/>
    <x v="1"/>
    <x v="5"/>
    <x v="2"/>
  </r>
  <r>
    <x v="831"/>
    <x v="2"/>
    <x v="0"/>
    <x v="309"/>
    <n v="51.7"/>
    <x v="34"/>
    <d v="2025-02-05T00:00:00"/>
    <x v="0"/>
    <x v="0"/>
    <x v="0"/>
    <x v="0"/>
    <x v="6"/>
    <x v="3"/>
    <x v="5"/>
    <x v="0"/>
  </r>
  <r>
    <x v="832"/>
    <x v="1"/>
    <x v="12"/>
    <x v="555"/>
    <n v="339.6"/>
    <x v="34"/>
    <d v="2025-02-05T00:00:00"/>
    <x v="2"/>
    <x v="1"/>
    <x v="1"/>
    <x v="0"/>
    <x v="6"/>
    <x v="3"/>
    <x v="5"/>
    <x v="2"/>
  </r>
  <r>
    <x v="833"/>
    <x v="1"/>
    <x v="5"/>
    <x v="556"/>
    <n v="685.3"/>
    <x v="34"/>
    <d v="2025-02-05T00:00:00"/>
    <x v="2"/>
    <x v="2"/>
    <x v="2"/>
    <x v="0"/>
    <x v="7"/>
    <x v="3"/>
    <x v="5"/>
    <x v="2"/>
  </r>
  <r>
    <x v="834"/>
    <x v="4"/>
    <x v="0"/>
    <x v="155"/>
    <n v="50.7"/>
    <x v="34"/>
    <d v="2025-02-06T00:00:00"/>
    <x v="1"/>
    <x v="2"/>
    <x v="2"/>
    <x v="0"/>
    <x v="8"/>
    <x v="1"/>
    <x v="5"/>
    <x v="1"/>
  </r>
  <r>
    <x v="835"/>
    <x v="18"/>
    <x v="0"/>
    <x v="557"/>
    <n v="39.5"/>
    <x v="34"/>
    <d v="2025-02-05T00:00:00"/>
    <x v="1"/>
    <x v="4"/>
    <x v="1"/>
    <x v="0"/>
    <x v="8"/>
    <x v="3"/>
    <x v="5"/>
    <x v="1"/>
  </r>
  <r>
    <x v="836"/>
    <x v="12"/>
    <x v="2"/>
    <x v="15"/>
    <n v="92.699999999999989"/>
    <x v="34"/>
    <d v="2025-02-05T00:00:00"/>
    <x v="0"/>
    <x v="4"/>
    <x v="2"/>
    <x v="0"/>
    <x v="8"/>
    <x v="3"/>
    <x v="5"/>
    <x v="0"/>
  </r>
  <r>
    <x v="837"/>
    <x v="1"/>
    <x v="3"/>
    <x v="128"/>
    <n v="254.79999999999998"/>
    <x v="34"/>
    <d v="2025-02-07T00:00:00"/>
    <x v="2"/>
    <x v="0"/>
    <x v="2"/>
    <x v="0"/>
    <x v="8"/>
    <x v="2"/>
    <x v="5"/>
    <x v="2"/>
  </r>
  <r>
    <x v="838"/>
    <x v="6"/>
    <x v="8"/>
    <x v="339"/>
    <n v="844.8"/>
    <x v="34"/>
    <d v="2025-02-14T00:00:00"/>
    <x v="2"/>
    <x v="0"/>
    <x v="0"/>
    <x v="0"/>
    <x v="8"/>
    <x v="14"/>
    <x v="5"/>
    <x v="2"/>
  </r>
  <r>
    <x v="839"/>
    <x v="8"/>
    <x v="1"/>
    <x v="237"/>
    <n v="44.2"/>
    <x v="34"/>
    <d v="2025-02-05T00:00:00"/>
    <x v="2"/>
    <x v="0"/>
    <x v="2"/>
    <x v="0"/>
    <x v="17"/>
    <x v="3"/>
    <x v="5"/>
    <x v="2"/>
  </r>
  <r>
    <x v="840"/>
    <x v="0"/>
    <x v="2"/>
    <x v="351"/>
    <n v="67.800000000000011"/>
    <x v="34"/>
    <d v="2025-02-05T00:00:00"/>
    <x v="2"/>
    <x v="2"/>
    <x v="0"/>
    <x v="0"/>
    <x v="17"/>
    <x v="3"/>
    <x v="5"/>
    <x v="2"/>
  </r>
  <r>
    <x v="841"/>
    <x v="10"/>
    <x v="13"/>
    <x v="133"/>
    <n v="157.80000000000001"/>
    <x v="34"/>
    <d v="2025-02-04T00:00:00"/>
    <x v="2"/>
    <x v="2"/>
    <x v="0"/>
    <x v="0"/>
    <x v="9"/>
    <x v="7"/>
    <x v="5"/>
    <x v="2"/>
  </r>
  <r>
    <x v="842"/>
    <x v="1"/>
    <x v="12"/>
    <x v="256"/>
    <n v="151.19999999999999"/>
    <x v="34"/>
    <d v="2025-02-05T00:00:00"/>
    <x v="2"/>
    <x v="0"/>
    <x v="2"/>
    <x v="0"/>
    <x v="11"/>
    <x v="3"/>
    <x v="5"/>
    <x v="2"/>
  </r>
  <r>
    <x v="843"/>
    <x v="6"/>
    <x v="14"/>
    <x v="558"/>
    <n v="1632"/>
    <x v="34"/>
    <d v="2025-02-07T00:00:00"/>
    <x v="2"/>
    <x v="4"/>
    <x v="1"/>
    <x v="0"/>
    <x v="18"/>
    <x v="2"/>
    <x v="5"/>
    <x v="2"/>
  </r>
  <r>
    <x v="844"/>
    <x v="1"/>
    <x v="0"/>
    <x v="331"/>
    <n v="83.6"/>
    <x v="34"/>
    <d v="2025-02-07T00:00:00"/>
    <x v="2"/>
    <x v="2"/>
    <x v="1"/>
    <x v="0"/>
    <x v="19"/>
    <x v="2"/>
    <x v="5"/>
    <x v="2"/>
  </r>
  <r>
    <x v="845"/>
    <x v="2"/>
    <x v="13"/>
    <x v="559"/>
    <n v="435.59999999999997"/>
    <x v="34"/>
    <d v="2025-02-05T00:00:00"/>
    <x v="2"/>
    <x v="0"/>
    <x v="0"/>
    <x v="0"/>
    <x v="21"/>
    <x v="3"/>
    <x v="5"/>
    <x v="2"/>
  </r>
  <r>
    <x v="846"/>
    <x v="5"/>
    <x v="28"/>
    <x v="276"/>
    <n v="1382"/>
    <x v="35"/>
    <d v="2025-02-11T00:00:00"/>
    <x v="1"/>
    <x v="0"/>
    <x v="2"/>
    <x v="0"/>
    <x v="21"/>
    <x v="4"/>
    <x v="5"/>
    <x v="1"/>
  </r>
  <r>
    <x v="847"/>
    <x v="4"/>
    <x v="1"/>
    <x v="351"/>
    <n v="45.2"/>
    <x v="35"/>
    <d v="2025-02-07T00:00:00"/>
    <x v="2"/>
    <x v="1"/>
    <x v="2"/>
    <x v="0"/>
    <x v="21"/>
    <x v="1"/>
    <x v="5"/>
    <x v="2"/>
  </r>
  <r>
    <x v="848"/>
    <x v="6"/>
    <x v="1"/>
    <x v="299"/>
    <n v="90.6"/>
    <x v="35"/>
    <d v="2025-02-09T00:00:00"/>
    <x v="1"/>
    <x v="4"/>
    <x v="2"/>
    <x v="0"/>
    <x v="21"/>
    <x v="5"/>
    <x v="5"/>
    <x v="1"/>
  </r>
  <r>
    <x v="849"/>
    <x v="2"/>
    <x v="1"/>
    <x v="560"/>
    <n v="230.2"/>
    <x v="35"/>
    <d v="2025-02-06T00:00:00"/>
    <x v="2"/>
    <x v="1"/>
    <x v="0"/>
    <x v="0"/>
    <x v="1"/>
    <x v="3"/>
    <x v="5"/>
    <x v="2"/>
  </r>
  <r>
    <x v="850"/>
    <x v="18"/>
    <x v="12"/>
    <x v="561"/>
    <n v="316"/>
    <x v="35"/>
    <d v="2025-02-07T00:00:00"/>
    <x v="1"/>
    <x v="2"/>
    <x v="4"/>
    <x v="0"/>
    <x v="1"/>
    <x v="1"/>
    <x v="5"/>
    <x v="1"/>
  </r>
  <r>
    <x v="851"/>
    <x v="6"/>
    <x v="9"/>
    <x v="434"/>
    <n v="264"/>
    <x v="35"/>
    <d v="2025-02-06T00:00:00"/>
    <x v="2"/>
    <x v="0"/>
    <x v="0"/>
    <x v="0"/>
    <x v="42"/>
    <x v="3"/>
    <x v="5"/>
    <x v="2"/>
  </r>
  <r>
    <x v="852"/>
    <x v="8"/>
    <x v="1"/>
    <x v="268"/>
    <n v="68.2"/>
    <x v="35"/>
    <d v="2025-02-06T00:00:00"/>
    <x v="1"/>
    <x v="3"/>
    <x v="2"/>
    <x v="0"/>
    <x v="44"/>
    <x v="3"/>
    <x v="5"/>
    <x v="1"/>
  </r>
  <r>
    <x v="853"/>
    <x v="6"/>
    <x v="9"/>
    <x v="562"/>
    <n v="539.5"/>
    <x v="35"/>
    <d v="2025-02-05T00:00:00"/>
    <x v="2"/>
    <x v="0"/>
    <x v="2"/>
    <x v="0"/>
    <x v="50"/>
    <x v="7"/>
    <x v="5"/>
    <x v="2"/>
  </r>
  <r>
    <x v="854"/>
    <x v="8"/>
    <x v="15"/>
    <x v="286"/>
    <n v="630.5"/>
    <x v="35"/>
    <d v="2025-02-05T00:00:00"/>
    <x v="1"/>
    <x v="2"/>
    <x v="2"/>
    <x v="0"/>
    <x v="3"/>
    <x v="7"/>
    <x v="5"/>
    <x v="1"/>
  </r>
  <r>
    <x v="855"/>
    <x v="5"/>
    <x v="2"/>
    <x v="267"/>
    <n v="104.10000000000001"/>
    <x v="35"/>
    <d v="2025-02-06T00:00:00"/>
    <x v="0"/>
    <x v="4"/>
    <x v="1"/>
    <x v="0"/>
    <x v="3"/>
    <x v="3"/>
    <x v="5"/>
    <x v="0"/>
  </r>
  <r>
    <x v="856"/>
    <x v="8"/>
    <x v="0"/>
    <x v="384"/>
    <n v="16.8"/>
    <x v="35"/>
    <d v="2025-02-07T00:00:00"/>
    <x v="2"/>
    <x v="3"/>
    <x v="0"/>
    <x v="0"/>
    <x v="3"/>
    <x v="1"/>
    <x v="5"/>
    <x v="2"/>
  </r>
  <r>
    <x v="857"/>
    <x v="8"/>
    <x v="13"/>
    <x v="383"/>
    <n v="109.80000000000001"/>
    <x v="35"/>
    <d v="2025-02-08T00:00:00"/>
    <x v="2"/>
    <x v="0"/>
    <x v="0"/>
    <x v="0"/>
    <x v="3"/>
    <x v="2"/>
    <x v="5"/>
    <x v="2"/>
  </r>
  <r>
    <x v="858"/>
    <x v="18"/>
    <x v="2"/>
    <x v="218"/>
    <n v="167.7"/>
    <x v="35"/>
    <d v="2025-02-11T00:00:00"/>
    <x v="1"/>
    <x v="3"/>
    <x v="1"/>
    <x v="0"/>
    <x v="3"/>
    <x v="4"/>
    <x v="5"/>
    <x v="1"/>
  </r>
  <r>
    <x v="859"/>
    <x v="8"/>
    <x v="2"/>
    <x v="406"/>
    <n v="117.60000000000001"/>
    <x v="35"/>
    <d v="2025-02-07T00:00:00"/>
    <x v="2"/>
    <x v="0"/>
    <x v="1"/>
    <x v="0"/>
    <x v="3"/>
    <x v="1"/>
    <x v="5"/>
    <x v="2"/>
  </r>
  <r>
    <x v="860"/>
    <x v="15"/>
    <x v="12"/>
    <x v="563"/>
    <n v="266"/>
    <x v="35"/>
    <d v="2025-02-07T00:00:00"/>
    <x v="0"/>
    <x v="3"/>
    <x v="1"/>
    <x v="0"/>
    <x v="3"/>
    <x v="1"/>
    <x v="5"/>
    <x v="0"/>
  </r>
  <r>
    <x v="861"/>
    <x v="6"/>
    <x v="13"/>
    <x v="184"/>
    <n v="312.60000000000002"/>
    <x v="35"/>
    <d v="2025-02-07T00:00:00"/>
    <x v="1"/>
    <x v="1"/>
    <x v="1"/>
    <x v="0"/>
    <x v="16"/>
    <x v="1"/>
    <x v="5"/>
    <x v="1"/>
  </r>
  <r>
    <x v="862"/>
    <x v="8"/>
    <x v="1"/>
    <x v="129"/>
    <n v="38"/>
    <x v="35"/>
    <d v="2025-02-06T00:00:00"/>
    <x v="1"/>
    <x v="4"/>
    <x v="2"/>
    <x v="0"/>
    <x v="6"/>
    <x v="3"/>
    <x v="5"/>
    <x v="1"/>
  </r>
  <r>
    <x v="863"/>
    <x v="7"/>
    <x v="2"/>
    <x v="564"/>
    <n v="254.39999999999998"/>
    <x v="35"/>
    <d v="2025-02-07T00:00:00"/>
    <x v="2"/>
    <x v="2"/>
    <x v="0"/>
    <x v="0"/>
    <x v="8"/>
    <x v="1"/>
    <x v="5"/>
    <x v="2"/>
  </r>
  <r>
    <x v="864"/>
    <x v="2"/>
    <x v="12"/>
    <x v="565"/>
    <n v="255.6"/>
    <x v="35"/>
    <d v="2025-02-08T00:00:00"/>
    <x v="2"/>
    <x v="0"/>
    <x v="0"/>
    <x v="0"/>
    <x v="8"/>
    <x v="2"/>
    <x v="5"/>
    <x v="2"/>
  </r>
  <r>
    <x v="865"/>
    <x v="2"/>
    <x v="2"/>
    <x v="313"/>
    <n v="196.5"/>
    <x v="35"/>
    <d v="2025-02-05T00:00:00"/>
    <x v="2"/>
    <x v="1"/>
    <x v="1"/>
    <x v="0"/>
    <x v="8"/>
    <x v="7"/>
    <x v="5"/>
    <x v="2"/>
  </r>
  <r>
    <x v="866"/>
    <x v="12"/>
    <x v="1"/>
    <x v="566"/>
    <n v="232.4"/>
    <x v="35"/>
    <d v="2025-02-11T00:00:00"/>
    <x v="1"/>
    <x v="3"/>
    <x v="0"/>
    <x v="0"/>
    <x v="17"/>
    <x v="4"/>
    <x v="5"/>
    <x v="1"/>
  </r>
  <r>
    <x v="867"/>
    <x v="10"/>
    <x v="12"/>
    <x v="409"/>
    <n v="91.6"/>
    <x v="35"/>
    <d v="2025-02-07T00:00:00"/>
    <x v="2"/>
    <x v="2"/>
    <x v="1"/>
    <x v="0"/>
    <x v="38"/>
    <x v="1"/>
    <x v="5"/>
    <x v="2"/>
  </r>
  <r>
    <x v="868"/>
    <x v="10"/>
    <x v="2"/>
    <x v="526"/>
    <n v="161.10000000000002"/>
    <x v="35"/>
    <d v="2025-02-06T00:00:00"/>
    <x v="1"/>
    <x v="0"/>
    <x v="4"/>
    <x v="0"/>
    <x v="18"/>
    <x v="3"/>
    <x v="5"/>
    <x v="1"/>
  </r>
  <r>
    <x v="869"/>
    <x v="6"/>
    <x v="9"/>
    <x v="522"/>
    <n v="216"/>
    <x v="35"/>
    <d v="2025-02-07T00:00:00"/>
    <x v="2"/>
    <x v="0"/>
    <x v="0"/>
    <x v="0"/>
    <x v="19"/>
    <x v="1"/>
    <x v="5"/>
    <x v="2"/>
  </r>
  <r>
    <x v="870"/>
    <x v="1"/>
    <x v="2"/>
    <x v="100"/>
    <n v="253.5"/>
    <x v="35"/>
    <d v="2025-02-07T00:00:00"/>
    <x v="1"/>
    <x v="2"/>
    <x v="2"/>
    <x v="0"/>
    <x v="51"/>
    <x v="1"/>
    <x v="5"/>
    <x v="1"/>
  </r>
  <r>
    <x v="871"/>
    <x v="3"/>
    <x v="1"/>
    <x v="567"/>
    <n v="84.4"/>
    <x v="35"/>
    <d v="2025-02-06T00:00:00"/>
    <x v="2"/>
    <x v="1"/>
    <x v="2"/>
    <x v="0"/>
    <x v="1"/>
    <x v="3"/>
    <x v="5"/>
    <x v="2"/>
  </r>
  <r>
    <x v="872"/>
    <x v="2"/>
    <x v="13"/>
    <x v="568"/>
    <n v="568.20000000000005"/>
    <x v="35"/>
    <d v="2025-02-08T00:00:00"/>
    <x v="2"/>
    <x v="1"/>
    <x v="2"/>
    <x v="0"/>
    <x v="2"/>
    <x v="2"/>
    <x v="5"/>
    <x v="2"/>
  </r>
  <r>
    <x v="873"/>
    <x v="8"/>
    <x v="16"/>
    <x v="569"/>
    <n v="300.59999999999997"/>
    <x v="35"/>
    <d v="2025-02-17T00:00:00"/>
    <x v="2"/>
    <x v="0"/>
    <x v="2"/>
    <x v="0"/>
    <x v="2"/>
    <x v="13"/>
    <x v="5"/>
    <x v="2"/>
  </r>
  <r>
    <x v="874"/>
    <x v="2"/>
    <x v="1"/>
    <x v="331"/>
    <n v="167.2"/>
    <x v="35"/>
    <d v="2025-02-11T00:00:00"/>
    <x v="2"/>
    <x v="1"/>
    <x v="0"/>
    <x v="0"/>
    <x v="3"/>
    <x v="4"/>
    <x v="5"/>
    <x v="2"/>
  </r>
  <r>
    <x v="875"/>
    <x v="7"/>
    <x v="13"/>
    <x v="570"/>
    <n v="201.60000000000002"/>
    <x v="36"/>
    <d v="2025-02-07T00:00:00"/>
    <x v="2"/>
    <x v="3"/>
    <x v="0"/>
    <x v="0"/>
    <x v="3"/>
    <x v="3"/>
    <x v="5"/>
    <x v="2"/>
  </r>
  <r>
    <x v="876"/>
    <x v="7"/>
    <x v="1"/>
    <x v="337"/>
    <n v="129.4"/>
    <x v="36"/>
    <d v="2025-02-08T00:00:00"/>
    <x v="1"/>
    <x v="1"/>
    <x v="2"/>
    <x v="0"/>
    <x v="3"/>
    <x v="1"/>
    <x v="5"/>
    <x v="1"/>
  </r>
  <r>
    <x v="877"/>
    <x v="0"/>
    <x v="2"/>
    <x v="137"/>
    <n v="47.099999999999994"/>
    <x v="36"/>
    <d v="2025-02-12T00:00:00"/>
    <x v="2"/>
    <x v="0"/>
    <x v="0"/>
    <x v="0"/>
    <x v="3"/>
    <x v="4"/>
    <x v="5"/>
    <x v="2"/>
  </r>
  <r>
    <x v="878"/>
    <x v="15"/>
    <x v="13"/>
    <x v="183"/>
    <n v="296.39999999999998"/>
    <x v="36"/>
    <d v="2025-02-06T00:00:00"/>
    <x v="1"/>
    <x v="1"/>
    <x v="0"/>
    <x v="0"/>
    <x v="3"/>
    <x v="7"/>
    <x v="5"/>
    <x v="1"/>
  </r>
  <r>
    <x v="879"/>
    <x v="10"/>
    <x v="13"/>
    <x v="571"/>
    <n v="222"/>
    <x v="36"/>
    <d v="2025-02-09T00:00:00"/>
    <x v="2"/>
    <x v="1"/>
    <x v="2"/>
    <x v="0"/>
    <x v="3"/>
    <x v="2"/>
    <x v="5"/>
    <x v="2"/>
  </r>
  <r>
    <x v="880"/>
    <x v="2"/>
    <x v="1"/>
    <x v="371"/>
    <n v="167.4"/>
    <x v="36"/>
    <d v="2025-02-08T00:00:00"/>
    <x v="2"/>
    <x v="3"/>
    <x v="2"/>
    <x v="0"/>
    <x v="3"/>
    <x v="1"/>
    <x v="5"/>
    <x v="2"/>
  </r>
  <r>
    <x v="881"/>
    <x v="1"/>
    <x v="9"/>
    <x v="334"/>
    <n v="175.5"/>
    <x v="36"/>
    <d v="2025-02-07T00:00:00"/>
    <x v="2"/>
    <x v="0"/>
    <x v="0"/>
    <x v="0"/>
    <x v="3"/>
    <x v="3"/>
    <x v="5"/>
    <x v="2"/>
  </r>
  <r>
    <x v="882"/>
    <x v="16"/>
    <x v="8"/>
    <x v="326"/>
    <n v="592"/>
    <x v="36"/>
    <d v="2025-02-07T00:00:00"/>
    <x v="2"/>
    <x v="4"/>
    <x v="0"/>
    <x v="0"/>
    <x v="37"/>
    <x v="3"/>
    <x v="5"/>
    <x v="2"/>
  </r>
  <r>
    <x v="883"/>
    <x v="6"/>
    <x v="25"/>
    <x v="572"/>
    <n v="1332"/>
    <x v="36"/>
    <d v="2025-02-09T00:00:00"/>
    <x v="1"/>
    <x v="3"/>
    <x v="0"/>
    <x v="0"/>
    <x v="49"/>
    <x v="2"/>
    <x v="5"/>
    <x v="1"/>
  </r>
  <r>
    <x v="884"/>
    <x v="11"/>
    <x v="1"/>
    <x v="400"/>
    <n v="77.8"/>
    <x v="36"/>
    <d v="2025-02-08T00:00:00"/>
    <x v="2"/>
    <x v="1"/>
    <x v="2"/>
    <x v="0"/>
    <x v="25"/>
    <x v="1"/>
    <x v="5"/>
    <x v="2"/>
  </r>
  <r>
    <x v="885"/>
    <x v="16"/>
    <x v="1"/>
    <x v="554"/>
    <n v="129.19999999999999"/>
    <x v="36"/>
    <d v="2025-02-13T00:00:00"/>
    <x v="1"/>
    <x v="2"/>
    <x v="1"/>
    <x v="0"/>
    <x v="25"/>
    <x v="6"/>
    <x v="5"/>
    <x v="1"/>
  </r>
  <r>
    <x v="886"/>
    <x v="2"/>
    <x v="2"/>
    <x v="573"/>
    <n v="285.89999999999998"/>
    <x v="36"/>
    <d v="2025-02-07T00:00:00"/>
    <x v="1"/>
    <x v="0"/>
    <x v="0"/>
    <x v="0"/>
    <x v="5"/>
    <x v="3"/>
    <x v="5"/>
    <x v="1"/>
  </r>
  <r>
    <x v="887"/>
    <x v="13"/>
    <x v="2"/>
    <x v="136"/>
    <n v="77.400000000000006"/>
    <x v="36"/>
    <d v="2025-02-07T00:00:00"/>
    <x v="2"/>
    <x v="1"/>
    <x v="1"/>
    <x v="0"/>
    <x v="6"/>
    <x v="3"/>
    <x v="5"/>
    <x v="2"/>
  </r>
  <r>
    <x v="888"/>
    <x v="0"/>
    <x v="1"/>
    <x v="463"/>
    <n v="23.2"/>
    <x v="36"/>
    <d v="2025-02-10T00:00:00"/>
    <x v="2"/>
    <x v="1"/>
    <x v="1"/>
    <x v="0"/>
    <x v="6"/>
    <x v="5"/>
    <x v="5"/>
    <x v="2"/>
  </r>
  <r>
    <x v="889"/>
    <x v="7"/>
    <x v="0"/>
    <x v="574"/>
    <n v="52.3"/>
    <x v="36"/>
    <d v="2025-02-07T00:00:00"/>
    <x v="2"/>
    <x v="1"/>
    <x v="0"/>
    <x v="0"/>
    <x v="8"/>
    <x v="3"/>
    <x v="5"/>
    <x v="2"/>
  </r>
  <r>
    <x v="890"/>
    <x v="2"/>
    <x v="7"/>
    <x v="575"/>
    <n v="1122"/>
    <x v="36"/>
    <d v="2025-02-07T00:00:00"/>
    <x v="2"/>
    <x v="1"/>
    <x v="1"/>
    <x v="0"/>
    <x v="8"/>
    <x v="3"/>
    <x v="5"/>
    <x v="2"/>
  </r>
  <r>
    <x v="891"/>
    <x v="4"/>
    <x v="9"/>
    <x v="292"/>
    <n v="173"/>
    <x v="36"/>
    <d v="2025-02-08T00:00:00"/>
    <x v="1"/>
    <x v="2"/>
    <x v="0"/>
    <x v="0"/>
    <x v="8"/>
    <x v="1"/>
    <x v="5"/>
    <x v="1"/>
  </r>
  <r>
    <x v="892"/>
    <x v="14"/>
    <x v="12"/>
    <x v="260"/>
    <n v="80.400000000000006"/>
    <x v="36"/>
    <d v="2025-02-12T00:00:00"/>
    <x v="1"/>
    <x v="1"/>
    <x v="2"/>
    <x v="0"/>
    <x v="8"/>
    <x v="4"/>
    <x v="5"/>
    <x v="1"/>
  </r>
  <r>
    <x v="893"/>
    <x v="2"/>
    <x v="12"/>
    <x v="576"/>
    <n v="225.6"/>
    <x v="36"/>
    <d v="2025-02-08T00:00:00"/>
    <x v="2"/>
    <x v="2"/>
    <x v="0"/>
    <x v="0"/>
    <x v="10"/>
    <x v="1"/>
    <x v="5"/>
    <x v="2"/>
  </r>
  <r>
    <x v="894"/>
    <x v="13"/>
    <x v="11"/>
    <x v="6"/>
    <n v="497.7"/>
    <x v="36"/>
    <d v="2025-02-08T00:00:00"/>
    <x v="2"/>
    <x v="1"/>
    <x v="4"/>
    <x v="0"/>
    <x v="11"/>
    <x v="1"/>
    <x v="5"/>
    <x v="2"/>
  </r>
  <r>
    <x v="895"/>
    <x v="2"/>
    <x v="31"/>
    <x v="577"/>
    <n v="2114"/>
    <x v="36"/>
    <d v="2025-02-07T00:00:00"/>
    <x v="2"/>
    <x v="0"/>
    <x v="0"/>
    <x v="0"/>
    <x v="11"/>
    <x v="3"/>
    <x v="5"/>
    <x v="2"/>
  </r>
  <r>
    <x v="896"/>
    <x v="8"/>
    <x v="0"/>
    <x v="174"/>
    <n v="23.6"/>
    <x v="36"/>
    <d v="2025-02-11T00:00:00"/>
    <x v="2"/>
    <x v="0"/>
    <x v="0"/>
    <x v="0"/>
    <x v="19"/>
    <x v="0"/>
    <x v="5"/>
    <x v="2"/>
  </r>
  <r>
    <x v="897"/>
    <x v="9"/>
    <x v="1"/>
    <x v="578"/>
    <n v="141.4"/>
    <x v="36"/>
    <d v="2025-02-08T00:00:00"/>
    <x v="2"/>
    <x v="2"/>
    <x v="0"/>
    <x v="0"/>
    <x v="19"/>
    <x v="1"/>
    <x v="5"/>
    <x v="2"/>
  </r>
  <r>
    <x v="898"/>
    <x v="12"/>
    <x v="1"/>
    <x v="522"/>
    <n v="86.4"/>
    <x v="36"/>
    <d v="2025-02-07T00:00:00"/>
    <x v="2"/>
    <x v="2"/>
    <x v="0"/>
    <x v="0"/>
    <x v="31"/>
    <x v="3"/>
    <x v="5"/>
    <x v="2"/>
  </r>
  <r>
    <x v="899"/>
    <x v="9"/>
    <x v="11"/>
    <x v="579"/>
    <n v="630"/>
    <x v="36"/>
    <d v="2025-02-07T00:00:00"/>
    <x v="0"/>
    <x v="1"/>
    <x v="0"/>
    <x v="0"/>
    <x v="52"/>
    <x v="3"/>
    <x v="5"/>
    <x v="0"/>
  </r>
  <r>
    <x v="900"/>
    <x v="0"/>
    <x v="1"/>
    <x v="580"/>
    <n v="41"/>
    <x v="36"/>
    <d v="2025-02-08T00:00:00"/>
    <x v="2"/>
    <x v="2"/>
    <x v="4"/>
    <x v="0"/>
    <x v="13"/>
    <x v="1"/>
    <x v="5"/>
    <x v="2"/>
  </r>
  <r>
    <x v="901"/>
    <x v="0"/>
    <x v="12"/>
    <x v="581"/>
    <n v="116.4"/>
    <x v="36"/>
    <d v="2025-02-07T00:00:00"/>
    <x v="2"/>
    <x v="3"/>
    <x v="0"/>
    <x v="0"/>
    <x v="28"/>
    <x v="3"/>
    <x v="5"/>
    <x v="2"/>
  </r>
  <r>
    <x v="902"/>
    <x v="6"/>
    <x v="11"/>
    <x v="582"/>
    <n v="482.40000000000003"/>
    <x v="36"/>
    <d v="2025-02-07T00:00:00"/>
    <x v="1"/>
    <x v="2"/>
    <x v="1"/>
    <x v="0"/>
    <x v="3"/>
    <x v="3"/>
    <x v="5"/>
    <x v="1"/>
  </r>
  <r>
    <x v="903"/>
    <x v="6"/>
    <x v="9"/>
    <x v="583"/>
    <n v="361.5"/>
    <x v="36"/>
    <d v="2025-02-08T00:00:00"/>
    <x v="2"/>
    <x v="1"/>
    <x v="0"/>
    <x v="0"/>
    <x v="3"/>
    <x v="1"/>
    <x v="5"/>
    <x v="2"/>
  </r>
  <r>
    <x v="904"/>
    <x v="13"/>
    <x v="12"/>
    <x v="351"/>
    <n v="90.4"/>
    <x v="36"/>
    <d v="2025-02-09T00:00:00"/>
    <x v="3"/>
    <x v="0"/>
    <x v="1"/>
    <x v="0"/>
    <x v="3"/>
    <x v="2"/>
    <x v="5"/>
    <x v="3"/>
  </r>
  <r>
    <x v="905"/>
    <x v="9"/>
    <x v="1"/>
    <x v="236"/>
    <n v="88.4"/>
    <x v="36"/>
    <d v="2025-02-10T00:00:00"/>
    <x v="0"/>
    <x v="2"/>
    <x v="4"/>
    <x v="0"/>
    <x v="3"/>
    <x v="5"/>
    <x v="5"/>
    <x v="0"/>
  </r>
  <r>
    <x v="906"/>
    <x v="9"/>
    <x v="2"/>
    <x v="252"/>
    <n v="282.29999999999995"/>
    <x v="36"/>
    <d v="2025-02-19T00:00:00"/>
    <x v="2"/>
    <x v="2"/>
    <x v="2"/>
    <x v="0"/>
    <x v="3"/>
    <x v="10"/>
    <x v="5"/>
    <x v="2"/>
  </r>
  <r>
    <x v="907"/>
    <x v="8"/>
    <x v="2"/>
    <x v="71"/>
    <n v="53.699999999999996"/>
    <x v="36"/>
    <d v="2025-02-08T00:00:00"/>
    <x v="1"/>
    <x v="1"/>
    <x v="1"/>
    <x v="0"/>
    <x v="3"/>
    <x v="1"/>
    <x v="5"/>
    <x v="1"/>
  </r>
  <r>
    <x v="908"/>
    <x v="12"/>
    <x v="3"/>
    <x v="119"/>
    <n v="368.90000000000003"/>
    <x v="36"/>
    <d v="2025-02-07T00:00:00"/>
    <x v="1"/>
    <x v="1"/>
    <x v="1"/>
    <x v="0"/>
    <x v="3"/>
    <x v="3"/>
    <x v="5"/>
    <x v="1"/>
  </r>
  <r>
    <x v="909"/>
    <x v="8"/>
    <x v="0"/>
    <x v="78"/>
    <n v="36.799999999999997"/>
    <x v="36"/>
    <d v="2025-02-06T00:00:00"/>
    <x v="0"/>
    <x v="0"/>
    <x v="2"/>
    <x v="0"/>
    <x v="3"/>
    <x v="7"/>
    <x v="5"/>
    <x v="0"/>
  </r>
  <r>
    <x v="910"/>
    <x v="4"/>
    <x v="0"/>
    <x v="166"/>
    <n v="52.5"/>
    <x v="36"/>
    <d v="2025-02-07T00:00:00"/>
    <x v="1"/>
    <x v="0"/>
    <x v="1"/>
    <x v="0"/>
    <x v="6"/>
    <x v="3"/>
    <x v="5"/>
    <x v="1"/>
  </r>
  <r>
    <x v="911"/>
    <x v="2"/>
    <x v="1"/>
    <x v="584"/>
    <n v="267.60000000000002"/>
    <x v="36"/>
    <d v="2025-02-08T00:00:00"/>
    <x v="1"/>
    <x v="0"/>
    <x v="1"/>
    <x v="0"/>
    <x v="7"/>
    <x v="1"/>
    <x v="5"/>
    <x v="1"/>
  </r>
  <r>
    <x v="912"/>
    <x v="6"/>
    <x v="1"/>
    <x v="459"/>
    <n v="106.4"/>
    <x v="36"/>
    <d v="2025-02-08T00:00:00"/>
    <x v="1"/>
    <x v="0"/>
    <x v="0"/>
    <x v="0"/>
    <x v="17"/>
    <x v="1"/>
    <x v="5"/>
    <x v="1"/>
  </r>
  <r>
    <x v="913"/>
    <x v="14"/>
    <x v="13"/>
    <x v="585"/>
    <n v="112.19999999999999"/>
    <x v="36"/>
    <d v="2025-02-08T00:00:00"/>
    <x v="0"/>
    <x v="0"/>
    <x v="1"/>
    <x v="0"/>
    <x v="10"/>
    <x v="1"/>
    <x v="5"/>
    <x v="0"/>
  </r>
  <r>
    <x v="914"/>
    <x v="6"/>
    <x v="12"/>
    <x v="586"/>
    <n v="435.2"/>
    <x v="36"/>
    <d v="2025-02-07T00:00:00"/>
    <x v="2"/>
    <x v="3"/>
    <x v="2"/>
    <x v="0"/>
    <x v="11"/>
    <x v="3"/>
    <x v="5"/>
    <x v="2"/>
  </r>
  <r>
    <x v="915"/>
    <x v="15"/>
    <x v="9"/>
    <x v="153"/>
    <n v="192.5"/>
    <x v="36"/>
    <d v="2025-02-10T00:00:00"/>
    <x v="2"/>
    <x v="0"/>
    <x v="1"/>
    <x v="0"/>
    <x v="14"/>
    <x v="5"/>
    <x v="5"/>
    <x v="2"/>
  </r>
  <r>
    <x v="916"/>
    <x v="10"/>
    <x v="7"/>
    <x v="587"/>
    <n v="465"/>
    <x v="36"/>
    <d v="2025-02-08T00:00:00"/>
    <x v="1"/>
    <x v="2"/>
    <x v="1"/>
    <x v="0"/>
    <x v="2"/>
    <x v="1"/>
    <x v="5"/>
    <x v="1"/>
  </r>
  <r>
    <x v="917"/>
    <x v="2"/>
    <x v="2"/>
    <x v="124"/>
    <n v="227.39999999999998"/>
    <x v="36"/>
    <d v="2025-02-10T00:00:00"/>
    <x v="2"/>
    <x v="1"/>
    <x v="4"/>
    <x v="0"/>
    <x v="44"/>
    <x v="5"/>
    <x v="5"/>
    <x v="2"/>
  </r>
  <r>
    <x v="918"/>
    <x v="8"/>
    <x v="0"/>
    <x v="588"/>
    <n v="20.9"/>
    <x v="36"/>
    <d v="2025-02-10T00:00:00"/>
    <x v="1"/>
    <x v="0"/>
    <x v="0"/>
    <x v="0"/>
    <x v="22"/>
    <x v="5"/>
    <x v="5"/>
    <x v="1"/>
  </r>
  <r>
    <x v="919"/>
    <x v="18"/>
    <x v="2"/>
    <x v="68"/>
    <n v="142.19999999999999"/>
    <x v="36"/>
    <d v="2025-02-09T00:00:00"/>
    <x v="2"/>
    <x v="0"/>
    <x v="0"/>
    <x v="0"/>
    <x v="3"/>
    <x v="2"/>
    <x v="5"/>
    <x v="2"/>
  </r>
  <r>
    <x v="920"/>
    <x v="9"/>
    <x v="1"/>
    <x v="589"/>
    <n v="107.6"/>
    <x v="36"/>
    <d v="2025-02-07T00:00:00"/>
    <x v="0"/>
    <x v="0"/>
    <x v="1"/>
    <x v="0"/>
    <x v="3"/>
    <x v="3"/>
    <x v="5"/>
    <x v="0"/>
  </r>
  <r>
    <x v="921"/>
    <x v="8"/>
    <x v="2"/>
    <x v="362"/>
    <n v="73.800000000000011"/>
    <x v="36"/>
    <d v="2025-02-08T00:00:00"/>
    <x v="3"/>
    <x v="1"/>
    <x v="2"/>
    <x v="0"/>
    <x v="3"/>
    <x v="1"/>
    <x v="5"/>
    <x v="3"/>
  </r>
  <r>
    <x v="922"/>
    <x v="9"/>
    <x v="2"/>
    <x v="45"/>
    <n v="212.70000000000002"/>
    <x v="36"/>
    <d v="2025-02-11T00:00:00"/>
    <x v="2"/>
    <x v="2"/>
    <x v="2"/>
    <x v="0"/>
    <x v="3"/>
    <x v="0"/>
    <x v="5"/>
    <x v="2"/>
  </r>
  <r>
    <x v="923"/>
    <x v="17"/>
    <x v="2"/>
    <x v="590"/>
    <n v="95.699999999999989"/>
    <x v="36"/>
    <d v="2025-02-08T00:00:00"/>
    <x v="2"/>
    <x v="2"/>
    <x v="2"/>
    <x v="0"/>
    <x v="3"/>
    <x v="1"/>
    <x v="5"/>
    <x v="2"/>
  </r>
  <r>
    <x v="924"/>
    <x v="0"/>
    <x v="1"/>
    <x v="293"/>
    <n v="40.799999999999997"/>
    <x v="36"/>
    <d v="2025-02-10T00:00:00"/>
    <x v="1"/>
    <x v="3"/>
    <x v="2"/>
    <x v="0"/>
    <x v="3"/>
    <x v="5"/>
    <x v="5"/>
    <x v="1"/>
  </r>
  <r>
    <x v="925"/>
    <x v="8"/>
    <x v="1"/>
    <x v="465"/>
    <n v="37.200000000000003"/>
    <x v="36"/>
    <d v="2025-02-08T00:00:00"/>
    <x v="0"/>
    <x v="0"/>
    <x v="1"/>
    <x v="0"/>
    <x v="3"/>
    <x v="1"/>
    <x v="5"/>
    <x v="0"/>
  </r>
  <r>
    <x v="926"/>
    <x v="4"/>
    <x v="9"/>
    <x v="591"/>
    <n v="241.5"/>
    <x v="36"/>
    <d v="2025-02-08T00:00:00"/>
    <x v="2"/>
    <x v="1"/>
    <x v="0"/>
    <x v="0"/>
    <x v="3"/>
    <x v="1"/>
    <x v="5"/>
    <x v="2"/>
  </r>
  <r>
    <x v="927"/>
    <x v="0"/>
    <x v="12"/>
    <x v="389"/>
    <n v="110.8"/>
    <x v="36"/>
    <d v="2025-02-08T00:00:00"/>
    <x v="2"/>
    <x v="0"/>
    <x v="0"/>
    <x v="0"/>
    <x v="3"/>
    <x v="1"/>
    <x v="5"/>
    <x v="2"/>
  </r>
  <r>
    <x v="928"/>
    <x v="4"/>
    <x v="9"/>
    <x v="243"/>
    <n v="112.5"/>
    <x v="36"/>
    <d v="2025-02-08T00:00:00"/>
    <x v="2"/>
    <x v="4"/>
    <x v="2"/>
    <x v="0"/>
    <x v="3"/>
    <x v="1"/>
    <x v="5"/>
    <x v="2"/>
  </r>
  <r>
    <x v="929"/>
    <x v="17"/>
    <x v="9"/>
    <x v="592"/>
    <n v="108"/>
    <x v="36"/>
    <d v="2025-02-14T00:00:00"/>
    <x v="2"/>
    <x v="0"/>
    <x v="1"/>
    <x v="0"/>
    <x v="3"/>
    <x v="9"/>
    <x v="5"/>
    <x v="2"/>
  </r>
  <r>
    <x v="930"/>
    <x v="10"/>
    <x v="3"/>
    <x v="133"/>
    <n v="184.1"/>
    <x v="36"/>
    <d v="2025-02-06T00:00:00"/>
    <x v="2"/>
    <x v="2"/>
    <x v="1"/>
    <x v="0"/>
    <x v="3"/>
    <x v="7"/>
    <x v="5"/>
    <x v="2"/>
  </r>
  <r>
    <x v="931"/>
    <x v="6"/>
    <x v="3"/>
    <x v="593"/>
    <n v="721"/>
    <x v="37"/>
    <d v="2025-02-08T00:00:00"/>
    <x v="1"/>
    <x v="0"/>
    <x v="2"/>
    <x v="0"/>
    <x v="6"/>
    <x v="3"/>
    <x v="5"/>
    <x v="1"/>
  </r>
  <r>
    <x v="932"/>
    <x v="5"/>
    <x v="20"/>
    <x v="594"/>
    <n v="699"/>
    <x v="37"/>
    <d v="2025-02-08T00:00:00"/>
    <x v="2"/>
    <x v="0"/>
    <x v="1"/>
    <x v="0"/>
    <x v="6"/>
    <x v="3"/>
    <x v="5"/>
    <x v="2"/>
  </r>
  <r>
    <x v="933"/>
    <x v="0"/>
    <x v="9"/>
    <x v="380"/>
    <n v="161"/>
    <x v="37"/>
    <d v="2025-02-10T00:00:00"/>
    <x v="2"/>
    <x v="0"/>
    <x v="2"/>
    <x v="0"/>
    <x v="36"/>
    <x v="2"/>
    <x v="5"/>
    <x v="2"/>
  </r>
  <r>
    <x v="934"/>
    <x v="8"/>
    <x v="2"/>
    <x v="595"/>
    <n v="66"/>
    <x v="37"/>
    <d v="2025-02-14T00:00:00"/>
    <x v="1"/>
    <x v="1"/>
    <x v="0"/>
    <x v="0"/>
    <x v="7"/>
    <x v="6"/>
    <x v="5"/>
    <x v="1"/>
  </r>
  <r>
    <x v="935"/>
    <x v="0"/>
    <x v="1"/>
    <x v="19"/>
    <n v="50.4"/>
    <x v="37"/>
    <d v="2025-02-11T00:00:00"/>
    <x v="2"/>
    <x v="0"/>
    <x v="0"/>
    <x v="0"/>
    <x v="7"/>
    <x v="5"/>
    <x v="5"/>
    <x v="2"/>
  </r>
  <r>
    <x v="936"/>
    <x v="1"/>
    <x v="13"/>
    <x v="596"/>
    <n v="412.20000000000005"/>
    <x v="37"/>
    <d v="2025-02-09T00:00:00"/>
    <x v="1"/>
    <x v="4"/>
    <x v="0"/>
    <x v="0"/>
    <x v="8"/>
    <x v="1"/>
    <x v="5"/>
    <x v="1"/>
  </r>
  <r>
    <x v="937"/>
    <x v="0"/>
    <x v="2"/>
    <x v="597"/>
    <n v="66.599999999999994"/>
    <x v="37"/>
    <d v="2025-02-10T00:00:00"/>
    <x v="1"/>
    <x v="2"/>
    <x v="2"/>
    <x v="0"/>
    <x v="8"/>
    <x v="2"/>
    <x v="5"/>
    <x v="1"/>
  </r>
  <r>
    <x v="938"/>
    <x v="1"/>
    <x v="3"/>
    <x v="307"/>
    <n v="252"/>
    <x v="37"/>
    <d v="2025-02-08T00:00:00"/>
    <x v="2"/>
    <x v="1"/>
    <x v="0"/>
    <x v="0"/>
    <x v="8"/>
    <x v="3"/>
    <x v="5"/>
    <x v="2"/>
  </r>
  <r>
    <x v="939"/>
    <x v="18"/>
    <x v="0"/>
    <x v="79"/>
    <n v="50.6"/>
    <x v="37"/>
    <d v="2025-02-09T00:00:00"/>
    <x v="2"/>
    <x v="0"/>
    <x v="1"/>
    <x v="0"/>
    <x v="8"/>
    <x v="1"/>
    <x v="5"/>
    <x v="2"/>
  </r>
  <r>
    <x v="940"/>
    <x v="15"/>
    <x v="1"/>
    <x v="125"/>
    <n v="89.8"/>
    <x v="37"/>
    <d v="2025-02-09T00:00:00"/>
    <x v="1"/>
    <x v="0"/>
    <x v="1"/>
    <x v="0"/>
    <x v="8"/>
    <x v="1"/>
    <x v="5"/>
    <x v="1"/>
  </r>
  <r>
    <x v="941"/>
    <x v="6"/>
    <x v="2"/>
    <x v="598"/>
    <n v="214.79999999999998"/>
    <x v="37"/>
    <d v="2025-02-11T00:00:00"/>
    <x v="1"/>
    <x v="1"/>
    <x v="2"/>
    <x v="0"/>
    <x v="10"/>
    <x v="5"/>
    <x v="5"/>
    <x v="1"/>
  </r>
  <r>
    <x v="942"/>
    <x v="6"/>
    <x v="13"/>
    <x v="599"/>
    <n v="309"/>
    <x v="37"/>
    <d v="2025-02-09T00:00:00"/>
    <x v="0"/>
    <x v="4"/>
    <x v="0"/>
    <x v="0"/>
    <x v="11"/>
    <x v="1"/>
    <x v="5"/>
    <x v="0"/>
  </r>
  <r>
    <x v="943"/>
    <x v="7"/>
    <x v="9"/>
    <x v="572"/>
    <n v="277.5"/>
    <x v="37"/>
    <d v="2025-02-08T00:00:00"/>
    <x v="1"/>
    <x v="1"/>
    <x v="1"/>
    <x v="0"/>
    <x v="11"/>
    <x v="3"/>
    <x v="5"/>
    <x v="1"/>
  </r>
  <r>
    <x v="944"/>
    <x v="6"/>
    <x v="0"/>
    <x v="309"/>
    <n v="51.7"/>
    <x v="37"/>
    <d v="2025-02-21T00:00:00"/>
    <x v="1"/>
    <x v="2"/>
    <x v="0"/>
    <x v="0"/>
    <x v="19"/>
    <x v="12"/>
    <x v="5"/>
    <x v="1"/>
  </r>
  <r>
    <x v="945"/>
    <x v="8"/>
    <x v="38"/>
    <x v="600"/>
    <n v="955.5"/>
    <x v="37"/>
    <d v="2025-02-08T00:00:00"/>
    <x v="2"/>
    <x v="3"/>
    <x v="2"/>
    <x v="0"/>
    <x v="19"/>
    <x v="3"/>
    <x v="5"/>
    <x v="2"/>
  </r>
  <r>
    <x v="946"/>
    <x v="8"/>
    <x v="1"/>
    <x v="601"/>
    <n v="67.599999999999994"/>
    <x v="37"/>
    <d v="2025-02-13T00:00:00"/>
    <x v="2"/>
    <x v="3"/>
    <x v="0"/>
    <x v="0"/>
    <x v="20"/>
    <x v="4"/>
    <x v="5"/>
    <x v="2"/>
  </r>
  <r>
    <x v="947"/>
    <x v="3"/>
    <x v="2"/>
    <x v="107"/>
    <n v="229.5"/>
    <x v="37"/>
    <d v="2025-02-08T00:00:00"/>
    <x v="2"/>
    <x v="0"/>
    <x v="1"/>
    <x v="0"/>
    <x v="21"/>
    <x v="3"/>
    <x v="5"/>
    <x v="2"/>
  </r>
  <r>
    <x v="948"/>
    <x v="9"/>
    <x v="2"/>
    <x v="325"/>
    <n v="127.80000000000001"/>
    <x v="37"/>
    <d v="2025-02-13T00:00:00"/>
    <x v="2"/>
    <x v="2"/>
    <x v="2"/>
    <x v="0"/>
    <x v="2"/>
    <x v="4"/>
    <x v="5"/>
    <x v="2"/>
  </r>
  <r>
    <x v="949"/>
    <x v="6"/>
    <x v="2"/>
    <x v="369"/>
    <n v="132.30000000000001"/>
    <x v="37"/>
    <d v="2025-02-09T00:00:00"/>
    <x v="2"/>
    <x v="1"/>
    <x v="1"/>
    <x v="0"/>
    <x v="22"/>
    <x v="1"/>
    <x v="5"/>
    <x v="2"/>
  </r>
  <r>
    <x v="950"/>
    <x v="8"/>
    <x v="1"/>
    <x v="446"/>
    <n v="81.8"/>
    <x v="37"/>
    <d v="2025-02-11T00:00:00"/>
    <x v="1"/>
    <x v="0"/>
    <x v="0"/>
    <x v="0"/>
    <x v="3"/>
    <x v="5"/>
    <x v="5"/>
    <x v="1"/>
  </r>
  <r>
    <x v="951"/>
    <x v="9"/>
    <x v="2"/>
    <x v="182"/>
    <n v="147.30000000000001"/>
    <x v="37"/>
    <d v="2025-02-11T00:00:00"/>
    <x v="2"/>
    <x v="3"/>
    <x v="1"/>
    <x v="0"/>
    <x v="3"/>
    <x v="5"/>
    <x v="5"/>
    <x v="2"/>
  </r>
  <r>
    <x v="952"/>
    <x v="18"/>
    <x v="0"/>
    <x v="602"/>
    <n v="85.3"/>
    <x v="37"/>
    <d v="2025-02-11T00:00:00"/>
    <x v="1"/>
    <x v="1"/>
    <x v="1"/>
    <x v="0"/>
    <x v="3"/>
    <x v="5"/>
    <x v="5"/>
    <x v="1"/>
  </r>
  <r>
    <x v="953"/>
    <x v="6"/>
    <x v="12"/>
    <x v="39"/>
    <n v="172.4"/>
    <x v="38"/>
    <d v="2025-02-11T00:00:00"/>
    <x v="1"/>
    <x v="0"/>
    <x v="0"/>
    <x v="0"/>
    <x v="3"/>
    <x v="2"/>
    <x v="5"/>
    <x v="1"/>
  </r>
  <r>
    <x v="954"/>
    <x v="4"/>
    <x v="12"/>
    <x v="193"/>
    <n v="184.8"/>
    <x v="38"/>
    <d v="2025-02-09T00:00:00"/>
    <x v="1"/>
    <x v="2"/>
    <x v="0"/>
    <x v="0"/>
    <x v="3"/>
    <x v="3"/>
    <x v="5"/>
    <x v="1"/>
  </r>
  <r>
    <x v="955"/>
    <x v="1"/>
    <x v="0"/>
    <x v="603"/>
    <n v="74.400000000000006"/>
    <x v="38"/>
    <d v="2025-02-10T00:00:00"/>
    <x v="1"/>
    <x v="4"/>
    <x v="2"/>
    <x v="0"/>
    <x v="3"/>
    <x v="1"/>
    <x v="5"/>
    <x v="1"/>
  </r>
  <r>
    <x v="956"/>
    <x v="17"/>
    <x v="1"/>
    <x v="440"/>
    <n v="102.4"/>
    <x v="38"/>
    <d v="2025-02-09T00:00:00"/>
    <x v="1"/>
    <x v="1"/>
    <x v="0"/>
    <x v="0"/>
    <x v="3"/>
    <x v="3"/>
    <x v="5"/>
    <x v="1"/>
  </r>
  <r>
    <x v="957"/>
    <x v="14"/>
    <x v="12"/>
    <x v="604"/>
    <n v="47.2"/>
    <x v="38"/>
    <d v="2025-02-08T00:00:00"/>
    <x v="1"/>
    <x v="2"/>
    <x v="0"/>
    <x v="0"/>
    <x v="3"/>
    <x v="7"/>
    <x v="5"/>
    <x v="1"/>
  </r>
  <r>
    <x v="958"/>
    <x v="10"/>
    <x v="6"/>
    <x v="363"/>
    <n v="1101.5999999999999"/>
    <x v="38"/>
    <d v="2025-02-09T00:00:00"/>
    <x v="2"/>
    <x v="3"/>
    <x v="2"/>
    <x v="0"/>
    <x v="3"/>
    <x v="3"/>
    <x v="5"/>
    <x v="2"/>
  </r>
  <r>
    <x v="959"/>
    <x v="8"/>
    <x v="0"/>
    <x v="605"/>
    <n v="24.7"/>
    <x v="38"/>
    <d v="2025-02-10T00:00:00"/>
    <x v="2"/>
    <x v="2"/>
    <x v="1"/>
    <x v="0"/>
    <x v="3"/>
    <x v="1"/>
    <x v="5"/>
    <x v="2"/>
  </r>
  <r>
    <x v="960"/>
    <x v="8"/>
    <x v="3"/>
    <x v="237"/>
    <n v="154.70000000000002"/>
    <x v="38"/>
    <d v="2025-02-08T00:00:00"/>
    <x v="2"/>
    <x v="2"/>
    <x v="4"/>
    <x v="0"/>
    <x v="3"/>
    <x v="7"/>
    <x v="5"/>
    <x v="2"/>
  </r>
  <r>
    <x v="961"/>
    <x v="8"/>
    <x v="0"/>
    <x v="606"/>
    <n v="18.100000000000001"/>
    <x v="38"/>
    <d v="2025-02-12T00:00:00"/>
    <x v="1"/>
    <x v="3"/>
    <x v="2"/>
    <x v="0"/>
    <x v="3"/>
    <x v="5"/>
    <x v="5"/>
    <x v="1"/>
  </r>
  <r>
    <x v="962"/>
    <x v="17"/>
    <x v="1"/>
    <x v="466"/>
    <n v="117.6"/>
    <x v="38"/>
    <d v="2025-02-11T00:00:00"/>
    <x v="2"/>
    <x v="0"/>
    <x v="0"/>
    <x v="0"/>
    <x v="25"/>
    <x v="2"/>
    <x v="5"/>
    <x v="2"/>
  </r>
  <r>
    <x v="963"/>
    <x v="18"/>
    <x v="1"/>
    <x v="607"/>
    <n v="61.6"/>
    <x v="38"/>
    <d v="2025-02-09T00:00:00"/>
    <x v="2"/>
    <x v="0"/>
    <x v="0"/>
    <x v="0"/>
    <x v="6"/>
    <x v="3"/>
    <x v="5"/>
    <x v="2"/>
  </r>
  <r>
    <x v="964"/>
    <x v="0"/>
    <x v="1"/>
    <x v="608"/>
    <n v="24"/>
    <x v="38"/>
    <d v="2025-02-12T00:00:00"/>
    <x v="2"/>
    <x v="0"/>
    <x v="0"/>
    <x v="0"/>
    <x v="6"/>
    <x v="5"/>
    <x v="5"/>
    <x v="2"/>
  </r>
  <r>
    <x v="965"/>
    <x v="0"/>
    <x v="12"/>
    <x v="609"/>
    <n v="54.4"/>
    <x v="38"/>
    <d v="2025-02-11T00:00:00"/>
    <x v="1"/>
    <x v="2"/>
    <x v="0"/>
    <x v="0"/>
    <x v="6"/>
    <x v="2"/>
    <x v="5"/>
    <x v="1"/>
  </r>
  <r>
    <x v="966"/>
    <x v="0"/>
    <x v="0"/>
    <x v="71"/>
    <n v="17.899999999999999"/>
    <x v="38"/>
    <d v="2025-02-09T00:00:00"/>
    <x v="1"/>
    <x v="3"/>
    <x v="0"/>
    <x v="0"/>
    <x v="6"/>
    <x v="3"/>
    <x v="5"/>
    <x v="1"/>
  </r>
  <r>
    <x v="967"/>
    <x v="9"/>
    <x v="1"/>
    <x v="392"/>
    <n v="77.2"/>
    <x v="38"/>
    <d v="2025-02-12T00:00:00"/>
    <x v="2"/>
    <x v="4"/>
    <x v="0"/>
    <x v="0"/>
    <x v="7"/>
    <x v="5"/>
    <x v="5"/>
    <x v="2"/>
  </r>
  <r>
    <x v="968"/>
    <x v="5"/>
    <x v="9"/>
    <x v="195"/>
    <n v="163.5"/>
    <x v="38"/>
    <d v="2025-02-09T00:00:00"/>
    <x v="1"/>
    <x v="2"/>
    <x v="2"/>
    <x v="0"/>
    <x v="8"/>
    <x v="3"/>
    <x v="5"/>
    <x v="1"/>
  </r>
  <r>
    <x v="969"/>
    <x v="3"/>
    <x v="1"/>
    <x v="610"/>
    <n v="222.8"/>
    <x v="38"/>
    <d v="2025-02-09T00:00:00"/>
    <x v="2"/>
    <x v="1"/>
    <x v="0"/>
    <x v="0"/>
    <x v="8"/>
    <x v="3"/>
    <x v="5"/>
    <x v="2"/>
  </r>
  <r>
    <x v="970"/>
    <x v="2"/>
    <x v="13"/>
    <x v="611"/>
    <n v="481.79999999999995"/>
    <x v="38"/>
    <d v="2025-02-10T00:00:00"/>
    <x v="2"/>
    <x v="1"/>
    <x v="0"/>
    <x v="0"/>
    <x v="8"/>
    <x v="1"/>
    <x v="5"/>
    <x v="2"/>
  </r>
  <r>
    <x v="971"/>
    <x v="6"/>
    <x v="1"/>
    <x v="395"/>
    <n v="117.8"/>
    <x v="38"/>
    <d v="2025-02-09T00:00:00"/>
    <x v="1"/>
    <x v="1"/>
    <x v="0"/>
    <x v="0"/>
    <x v="8"/>
    <x v="3"/>
    <x v="5"/>
    <x v="1"/>
  </r>
  <r>
    <x v="972"/>
    <x v="6"/>
    <x v="2"/>
    <x v="424"/>
    <n v="155.69999999999999"/>
    <x v="38"/>
    <d v="2025-02-10T00:00:00"/>
    <x v="2"/>
    <x v="1"/>
    <x v="4"/>
    <x v="0"/>
    <x v="8"/>
    <x v="1"/>
    <x v="5"/>
    <x v="2"/>
  </r>
  <r>
    <x v="973"/>
    <x v="2"/>
    <x v="2"/>
    <x v="612"/>
    <n v="150.89999999999998"/>
    <x v="38"/>
    <d v="2025-02-09T00:00:00"/>
    <x v="1"/>
    <x v="2"/>
    <x v="0"/>
    <x v="0"/>
    <x v="17"/>
    <x v="3"/>
    <x v="5"/>
    <x v="1"/>
  </r>
  <r>
    <x v="974"/>
    <x v="11"/>
    <x v="13"/>
    <x v="303"/>
    <n v="270"/>
    <x v="38"/>
    <d v="2025-02-14T00:00:00"/>
    <x v="2"/>
    <x v="3"/>
    <x v="0"/>
    <x v="0"/>
    <x v="9"/>
    <x v="4"/>
    <x v="5"/>
    <x v="2"/>
  </r>
  <r>
    <x v="975"/>
    <x v="10"/>
    <x v="13"/>
    <x v="613"/>
    <n v="268.20000000000005"/>
    <x v="38"/>
    <d v="2025-02-10T00:00:00"/>
    <x v="2"/>
    <x v="2"/>
    <x v="0"/>
    <x v="0"/>
    <x v="11"/>
    <x v="1"/>
    <x v="5"/>
    <x v="2"/>
  </r>
  <r>
    <x v="976"/>
    <x v="18"/>
    <x v="20"/>
    <x v="614"/>
    <n v="495"/>
    <x v="38"/>
    <d v="2025-02-09T00:00:00"/>
    <x v="2"/>
    <x v="2"/>
    <x v="0"/>
    <x v="0"/>
    <x v="11"/>
    <x v="3"/>
    <x v="5"/>
    <x v="2"/>
  </r>
  <r>
    <x v="977"/>
    <x v="1"/>
    <x v="9"/>
    <x v="125"/>
    <n v="224.5"/>
    <x v="38"/>
    <d v="2025-02-11T00:00:00"/>
    <x v="2"/>
    <x v="2"/>
    <x v="2"/>
    <x v="0"/>
    <x v="18"/>
    <x v="2"/>
    <x v="5"/>
    <x v="2"/>
  </r>
  <r>
    <x v="978"/>
    <x v="10"/>
    <x v="1"/>
    <x v="292"/>
    <n v="69.2"/>
    <x v="38"/>
    <d v="2025-02-12T00:00:00"/>
    <x v="2"/>
    <x v="0"/>
    <x v="1"/>
    <x v="0"/>
    <x v="19"/>
    <x v="5"/>
    <x v="5"/>
    <x v="2"/>
  </r>
  <r>
    <x v="979"/>
    <x v="7"/>
    <x v="3"/>
    <x v="344"/>
    <n v="329.7"/>
    <x v="38"/>
    <d v="2025-02-13T00:00:00"/>
    <x v="2"/>
    <x v="0"/>
    <x v="0"/>
    <x v="0"/>
    <x v="13"/>
    <x v="0"/>
    <x v="5"/>
    <x v="2"/>
  </r>
  <r>
    <x v="980"/>
    <x v="4"/>
    <x v="9"/>
    <x v="615"/>
    <n v="130.5"/>
    <x v="38"/>
    <d v="2025-02-13T00:00:00"/>
    <x v="1"/>
    <x v="0"/>
    <x v="2"/>
    <x v="0"/>
    <x v="21"/>
    <x v="0"/>
    <x v="5"/>
    <x v="1"/>
  </r>
  <r>
    <x v="981"/>
    <x v="12"/>
    <x v="9"/>
    <x v="114"/>
    <n v="334"/>
    <x v="38"/>
    <d v="2025-02-11T00:00:00"/>
    <x v="2"/>
    <x v="0"/>
    <x v="0"/>
    <x v="0"/>
    <x v="21"/>
    <x v="2"/>
    <x v="5"/>
    <x v="2"/>
  </r>
  <r>
    <x v="982"/>
    <x v="2"/>
    <x v="1"/>
    <x v="616"/>
    <n v="335.8"/>
    <x v="38"/>
    <d v="2025-02-09T00:00:00"/>
    <x v="2"/>
    <x v="3"/>
    <x v="2"/>
    <x v="0"/>
    <x v="21"/>
    <x v="3"/>
    <x v="5"/>
    <x v="2"/>
  </r>
  <r>
    <x v="983"/>
    <x v="10"/>
    <x v="11"/>
    <x v="292"/>
    <n v="311.40000000000003"/>
    <x v="38"/>
    <d v="2025-02-09T00:00:00"/>
    <x v="2"/>
    <x v="2"/>
    <x v="1"/>
    <x v="0"/>
    <x v="21"/>
    <x v="3"/>
    <x v="5"/>
    <x v="2"/>
  </r>
  <r>
    <x v="984"/>
    <x v="8"/>
    <x v="2"/>
    <x v="334"/>
    <n v="105.30000000000001"/>
    <x v="39"/>
    <d v="2025-02-13T00:00:00"/>
    <x v="1"/>
    <x v="4"/>
    <x v="2"/>
    <x v="0"/>
    <x v="1"/>
    <x v="5"/>
    <x v="6"/>
    <x v="1"/>
  </r>
  <r>
    <x v="985"/>
    <x v="6"/>
    <x v="12"/>
    <x v="617"/>
    <n v="418"/>
    <x v="39"/>
    <d v="2025-02-10T00:00:00"/>
    <x v="1"/>
    <x v="1"/>
    <x v="1"/>
    <x v="0"/>
    <x v="1"/>
    <x v="3"/>
    <x v="6"/>
    <x v="1"/>
  </r>
  <r>
    <x v="986"/>
    <x v="8"/>
    <x v="0"/>
    <x v="430"/>
    <n v="37.9"/>
    <x v="39"/>
    <d v="2025-02-11T00:00:00"/>
    <x v="0"/>
    <x v="1"/>
    <x v="2"/>
    <x v="0"/>
    <x v="2"/>
    <x v="1"/>
    <x v="6"/>
    <x v="0"/>
  </r>
  <r>
    <x v="987"/>
    <x v="4"/>
    <x v="2"/>
    <x v="423"/>
    <n v="76.5"/>
    <x v="39"/>
    <d v="2025-02-12T00:00:00"/>
    <x v="1"/>
    <x v="3"/>
    <x v="0"/>
    <x v="0"/>
    <x v="2"/>
    <x v="2"/>
    <x v="6"/>
    <x v="1"/>
  </r>
  <r>
    <x v="988"/>
    <x v="0"/>
    <x v="2"/>
    <x v="34"/>
    <n v="96"/>
    <x v="39"/>
    <d v="2025-02-13T00:00:00"/>
    <x v="2"/>
    <x v="1"/>
    <x v="0"/>
    <x v="0"/>
    <x v="22"/>
    <x v="5"/>
    <x v="6"/>
    <x v="2"/>
  </r>
  <r>
    <x v="989"/>
    <x v="1"/>
    <x v="0"/>
    <x v="344"/>
    <n v="47.1"/>
    <x v="39"/>
    <d v="2025-02-10T00:00:00"/>
    <x v="2"/>
    <x v="0"/>
    <x v="0"/>
    <x v="0"/>
    <x v="34"/>
    <x v="3"/>
    <x v="6"/>
    <x v="2"/>
  </r>
  <r>
    <x v="990"/>
    <x v="6"/>
    <x v="1"/>
    <x v="79"/>
    <n v="101.2"/>
    <x v="39"/>
    <d v="2025-02-15T00:00:00"/>
    <x v="0"/>
    <x v="0"/>
    <x v="0"/>
    <x v="0"/>
    <x v="3"/>
    <x v="4"/>
    <x v="6"/>
    <x v="0"/>
  </r>
  <r>
    <x v="991"/>
    <x v="6"/>
    <x v="9"/>
    <x v="521"/>
    <n v="408.5"/>
    <x v="39"/>
    <d v="2025-02-10T00:00:00"/>
    <x v="2"/>
    <x v="1"/>
    <x v="2"/>
    <x v="0"/>
    <x v="3"/>
    <x v="3"/>
    <x v="6"/>
    <x v="2"/>
  </r>
  <r>
    <x v="992"/>
    <x v="5"/>
    <x v="1"/>
    <x v="155"/>
    <n v="101.4"/>
    <x v="39"/>
    <d v="2025-02-10T00:00:00"/>
    <x v="3"/>
    <x v="2"/>
    <x v="2"/>
    <x v="0"/>
    <x v="3"/>
    <x v="3"/>
    <x v="6"/>
    <x v="3"/>
  </r>
  <r>
    <x v="993"/>
    <x v="2"/>
    <x v="10"/>
    <x v="618"/>
    <n v="1278.7"/>
    <x v="39"/>
    <d v="2025-02-13T00:00:00"/>
    <x v="2"/>
    <x v="2"/>
    <x v="0"/>
    <x v="0"/>
    <x v="3"/>
    <x v="5"/>
    <x v="6"/>
    <x v="2"/>
  </r>
  <r>
    <x v="994"/>
    <x v="2"/>
    <x v="12"/>
    <x v="497"/>
    <n v="259.2"/>
    <x v="39"/>
    <d v="2025-02-12T00:00:00"/>
    <x v="2"/>
    <x v="3"/>
    <x v="0"/>
    <x v="0"/>
    <x v="3"/>
    <x v="2"/>
    <x v="6"/>
    <x v="2"/>
  </r>
  <r>
    <x v="995"/>
    <x v="5"/>
    <x v="32"/>
    <x v="148"/>
    <n v="1348.6"/>
    <x v="39"/>
    <d v="2025-02-10T00:00:00"/>
    <x v="2"/>
    <x v="0"/>
    <x v="2"/>
    <x v="0"/>
    <x v="3"/>
    <x v="3"/>
    <x v="6"/>
    <x v="2"/>
  </r>
  <r>
    <x v="996"/>
    <x v="14"/>
    <x v="0"/>
    <x v="619"/>
    <n v="32.9"/>
    <x v="39"/>
    <d v="2025-02-12T00:00:00"/>
    <x v="2"/>
    <x v="4"/>
    <x v="0"/>
    <x v="0"/>
    <x v="3"/>
    <x v="2"/>
    <x v="6"/>
    <x v="2"/>
  </r>
  <r>
    <x v="997"/>
    <x v="6"/>
    <x v="1"/>
    <x v="620"/>
    <n v="201.6"/>
    <x v="39"/>
    <d v="2025-02-12T00:00:00"/>
    <x v="2"/>
    <x v="0"/>
    <x v="0"/>
    <x v="0"/>
    <x v="3"/>
    <x v="2"/>
    <x v="6"/>
    <x v="2"/>
  </r>
  <r>
    <x v="998"/>
    <x v="8"/>
    <x v="12"/>
    <x v="403"/>
    <n v="100.4"/>
    <x v="39"/>
    <d v="2025-02-11T00:00:00"/>
    <x v="2"/>
    <x v="1"/>
    <x v="0"/>
    <x v="0"/>
    <x v="3"/>
    <x v="1"/>
    <x v="6"/>
    <x v="2"/>
  </r>
  <r>
    <x v="999"/>
    <x v="17"/>
    <x v="0"/>
    <x v="286"/>
    <n v="48.5"/>
    <x v="39"/>
    <d v="2025-02-10T00:00:00"/>
    <x v="2"/>
    <x v="0"/>
    <x v="1"/>
    <x v="0"/>
    <x v="3"/>
    <x v="3"/>
    <x v="6"/>
    <x v="2"/>
  </r>
  <r>
    <x v="1000"/>
    <x v="7"/>
    <x v="1"/>
    <x v="570"/>
    <n v="67.2"/>
    <x v="39"/>
    <d v="2025-02-13T00:00:00"/>
    <x v="2"/>
    <x v="2"/>
    <x v="2"/>
    <x v="0"/>
    <x v="3"/>
    <x v="5"/>
    <x v="6"/>
    <x v="2"/>
  </r>
  <r>
    <x v="1001"/>
    <x v="8"/>
    <x v="0"/>
    <x v="418"/>
    <n v="39.299999999999997"/>
    <x v="39"/>
    <d v="2025-02-20T00:00:00"/>
    <x v="2"/>
    <x v="1"/>
    <x v="1"/>
    <x v="0"/>
    <x v="49"/>
    <x v="11"/>
    <x v="6"/>
    <x v="2"/>
  </r>
  <r>
    <x v="1002"/>
    <x v="4"/>
    <x v="7"/>
    <x v="126"/>
    <n v="488"/>
    <x v="39"/>
    <d v="2025-02-11T00:00:00"/>
    <x v="2"/>
    <x v="3"/>
    <x v="1"/>
    <x v="0"/>
    <x v="25"/>
    <x v="1"/>
    <x v="6"/>
    <x v="2"/>
  </r>
  <r>
    <x v="1003"/>
    <x v="6"/>
    <x v="8"/>
    <x v="524"/>
    <n v="582.4"/>
    <x v="39"/>
    <d v="2025-02-11T00:00:00"/>
    <x v="1"/>
    <x v="1"/>
    <x v="2"/>
    <x v="0"/>
    <x v="5"/>
    <x v="1"/>
    <x v="6"/>
    <x v="1"/>
  </r>
  <r>
    <x v="1004"/>
    <x v="10"/>
    <x v="8"/>
    <x v="193"/>
    <n v="369.6"/>
    <x v="39"/>
    <d v="2025-02-10T00:00:00"/>
    <x v="1"/>
    <x v="3"/>
    <x v="4"/>
    <x v="0"/>
    <x v="5"/>
    <x v="3"/>
    <x v="6"/>
    <x v="1"/>
  </r>
  <r>
    <x v="1005"/>
    <x v="4"/>
    <x v="1"/>
    <x v="289"/>
    <n v="41.4"/>
    <x v="39"/>
    <d v="2025-02-10T00:00:00"/>
    <x v="2"/>
    <x v="2"/>
    <x v="3"/>
    <x v="0"/>
    <x v="6"/>
    <x v="3"/>
    <x v="6"/>
    <x v="2"/>
  </r>
  <r>
    <x v="1006"/>
    <x v="0"/>
    <x v="0"/>
    <x v="8"/>
    <n v="35.700000000000003"/>
    <x v="39"/>
    <d v="2025-02-11T00:00:00"/>
    <x v="2"/>
    <x v="3"/>
    <x v="0"/>
    <x v="0"/>
    <x v="6"/>
    <x v="1"/>
    <x v="6"/>
    <x v="2"/>
  </r>
  <r>
    <x v="1007"/>
    <x v="2"/>
    <x v="27"/>
    <x v="621"/>
    <n v="2659.2"/>
    <x v="39"/>
    <d v="2025-02-11T00:00:00"/>
    <x v="0"/>
    <x v="2"/>
    <x v="0"/>
    <x v="0"/>
    <x v="7"/>
    <x v="1"/>
    <x v="6"/>
    <x v="0"/>
  </r>
  <r>
    <x v="1008"/>
    <x v="6"/>
    <x v="12"/>
    <x v="449"/>
    <n v="343.2"/>
    <x v="39"/>
    <d v="2025-02-10T00:00:00"/>
    <x v="2"/>
    <x v="1"/>
    <x v="1"/>
    <x v="0"/>
    <x v="7"/>
    <x v="3"/>
    <x v="6"/>
    <x v="2"/>
  </r>
  <r>
    <x v="1009"/>
    <x v="8"/>
    <x v="2"/>
    <x v="269"/>
    <n v="78"/>
    <x v="39"/>
    <d v="2025-02-11T00:00:00"/>
    <x v="3"/>
    <x v="1"/>
    <x v="0"/>
    <x v="0"/>
    <x v="7"/>
    <x v="1"/>
    <x v="6"/>
    <x v="3"/>
  </r>
  <r>
    <x v="1010"/>
    <x v="2"/>
    <x v="15"/>
    <x v="622"/>
    <n v="1515.8"/>
    <x v="39"/>
    <d v="2025-02-12T00:00:00"/>
    <x v="2"/>
    <x v="0"/>
    <x v="0"/>
    <x v="0"/>
    <x v="8"/>
    <x v="2"/>
    <x v="6"/>
    <x v="2"/>
  </r>
  <r>
    <x v="1011"/>
    <x v="9"/>
    <x v="3"/>
    <x v="190"/>
    <n v="377.3"/>
    <x v="39"/>
    <d v="2025-02-12T00:00:00"/>
    <x v="3"/>
    <x v="0"/>
    <x v="2"/>
    <x v="0"/>
    <x v="8"/>
    <x v="2"/>
    <x v="6"/>
    <x v="3"/>
  </r>
  <r>
    <x v="1012"/>
    <x v="12"/>
    <x v="9"/>
    <x v="583"/>
    <n v="361.5"/>
    <x v="39"/>
    <d v="2025-02-11T00:00:00"/>
    <x v="0"/>
    <x v="2"/>
    <x v="2"/>
    <x v="0"/>
    <x v="8"/>
    <x v="1"/>
    <x v="6"/>
    <x v="0"/>
  </r>
  <r>
    <x v="1013"/>
    <x v="5"/>
    <x v="1"/>
    <x v="541"/>
    <n v="62.8"/>
    <x v="39"/>
    <d v="2025-02-11T00:00:00"/>
    <x v="2"/>
    <x v="0"/>
    <x v="0"/>
    <x v="0"/>
    <x v="8"/>
    <x v="1"/>
    <x v="6"/>
    <x v="2"/>
  </r>
  <r>
    <x v="1014"/>
    <x v="13"/>
    <x v="1"/>
    <x v="213"/>
    <n v="106.2"/>
    <x v="39"/>
    <d v="2025-02-12T00:00:00"/>
    <x v="1"/>
    <x v="1"/>
    <x v="0"/>
    <x v="0"/>
    <x v="8"/>
    <x v="2"/>
    <x v="6"/>
    <x v="1"/>
  </r>
  <r>
    <x v="1015"/>
    <x v="2"/>
    <x v="12"/>
    <x v="623"/>
    <n v="224.8"/>
    <x v="39"/>
    <d v="2025-02-10T00:00:00"/>
    <x v="2"/>
    <x v="0"/>
    <x v="0"/>
    <x v="0"/>
    <x v="8"/>
    <x v="3"/>
    <x v="6"/>
    <x v="2"/>
  </r>
  <r>
    <x v="1016"/>
    <x v="1"/>
    <x v="7"/>
    <x v="81"/>
    <n v="773"/>
    <x v="39"/>
    <d v="2025-02-10T00:00:00"/>
    <x v="2"/>
    <x v="2"/>
    <x v="0"/>
    <x v="0"/>
    <x v="11"/>
    <x v="3"/>
    <x v="6"/>
    <x v="2"/>
  </r>
  <r>
    <x v="1017"/>
    <x v="6"/>
    <x v="15"/>
    <x v="211"/>
    <n v="751.4"/>
    <x v="39"/>
    <d v="2025-02-10T00:00:00"/>
    <x v="0"/>
    <x v="0"/>
    <x v="0"/>
    <x v="0"/>
    <x v="53"/>
    <x v="3"/>
    <x v="6"/>
    <x v="0"/>
  </r>
  <r>
    <x v="1018"/>
    <x v="12"/>
    <x v="20"/>
    <x v="624"/>
    <n v="631.5"/>
    <x v="39"/>
    <d v="2025-02-11T00:00:00"/>
    <x v="2"/>
    <x v="1"/>
    <x v="1"/>
    <x v="0"/>
    <x v="53"/>
    <x v="1"/>
    <x v="6"/>
    <x v="2"/>
  </r>
  <r>
    <x v="1019"/>
    <x v="8"/>
    <x v="11"/>
    <x v="625"/>
    <n v="205.20000000000002"/>
    <x v="39"/>
    <d v="2025-02-13T00:00:00"/>
    <x v="1"/>
    <x v="2"/>
    <x v="2"/>
    <x v="0"/>
    <x v="19"/>
    <x v="5"/>
    <x v="6"/>
    <x v="1"/>
  </r>
  <r>
    <x v="1020"/>
    <x v="2"/>
    <x v="2"/>
    <x v="626"/>
    <n v="513.29999999999995"/>
    <x v="40"/>
    <d v="2025-02-17T00:00:00"/>
    <x v="2"/>
    <x v="2"/>
    <x v="1"/>
    <x v="0"/>
    <x v="19"/>
    <x v="6"/>
    <x v="6"/>
    <x v="2"/>
  </r>
  <r>
    <x v="1021"/>
    <x v="8"/>
    <x v="0"/>
    <x v="627"/>
    <n v="28"/>
    <x v="40"/>
    <d v="2025-02-12T00:00:00"/>
    <x v="1"/>
    <x v="2"/>
    <x v="2"/>
    <x v="0"/>
    <x v="21"/>
    <x v="1"/>
    <x v="6"/>
    <x v="1"/>
  </r>
  <r>
    <x v="1022"/>
    <x v="6"/>
    <x v="3"/>
    <x v="534"/>
    <n v="351.40000000000003"/>
    <x v="40"/>
    <d v="2025-02-12T00:00:00"/>
    <x v="1"/>
    <x v="2"/>
    <x v="0"/>
    <x v="0"/>
    <x v="21"/>
    <x v="1"/>
    <x v="6"/>
    <x v="1"/>
  </r>
  <r>
    <x v="1023"/>
    <x v="6"/>
    <x v="1"/>
    <x v="628"/>
    <n v="112"/>
    <x v="40"/>
    <d v="2025-02-10T00:00:00"/>
    <x v="1"/>
    <x v="0"/>
    <x v="2"/>
    <x v="0"/>
    <x v="22"/>
    <x v="7"/>
    <x v="6"/>
    <x v="1"/>
  </r>
  <r>
    <x v="1024"/>
    <x v="1"/>
    <x v="1"/>
    <x v="629"/>
    <n v="76.599999999999994"/>
    <x v="40"/>
    <d v="2025-02-11T00:00:00"/>
    <x v="2"/>
    <x v="1"/>
    <x v="0"/>
    <x v="0"/>
    <x v="3"/>
    <x v="3"/>
    <x v="6"/>
    <x v="2"/>
  </r>
  <r>
    <x v="1025"/>
    <x v="0"/>
    <x v="9"/>
    <x v="208"/>
    <n v="111.5"/>
    <x v="40"/>
    <d v="2025-02-14T00:00:00"/>
    <x v="2"/>
    <x v="2"/>
    <x v="1"/>
    <x v="0"/>
    <x v="3"/>
    <x v="5"/>
    <x v="6"/>
    <x v="2"/>
  </r>
  <r>
    <x v="1026"/>
    <x v="0"/>
    <x v="2"/>
    <x v="208"/>
    <n v="66.900000000000006"/>
    <x v="40"/>
    <d v="2025-02-13T00:00:00"/>
    <x v="2"/>
    <x v="2"/>
    <x v="0"/>
    <x v="0"/>
    <x v="3"/>
    <x v="2"/>
    <x v="6"/>
    <x v="2"/>
  </r>
  <r>
    <x v="1027"/>
    <x v="1"/>
    <x v="0"/>
    <x v="619"/>
    <n v="32.9"/>
    <x v="40"/>
    <d v="2025-02-15T00:00:00"/>
    <x v="2"/>
    <x v="0"/>
    <x v="0"/>
    <x v="0"/>
    <x v="3"/>
    <x v="0"/>
    <x v="6"/>
    <x v="2"/>
  </r>
  <r>
    <x v="1028"/>
    <x v="10"/>
    <x v="2"/>
    <x v="590"/>
    <n v="95.699999999999989"/>
    <x v="40"/>
    <d v="2025-02-15T00:00:00"/>
    <x v="2"/>
    <x v="0"/>
    <x v="0"/>
    <x v="0"/>
    <x v="3"/>
    <x v="0"/>
    <x v="6"/>
    <x v="2"/>
  </r>
  <r>
    <x v="1029"/>
    <x v="6"/>
    <x v="1"/>
    <x v="420"/>
    <n v="188"/>
    <x v="40"/>
    <d v="2025-02-11T00:00:00"/>
    <x v="1"/>
    <x v="2"/>
    <x v="2"/>
    <x v="0"/>
    <x v="3"/>
    <x v="3"/>
    <x v="6"/>
    <x v="1"/>
  </r>
  <r>
    <x v="1030"/>
    <x v="10"/>
    <x v="1"/>
    <x v="630"/>
    <n v="61.4"/>
    <x v="40"/>
    <d v="2025-02-11T00:00:00"/>
    <x v="2"/>
    <x v="0"/>
    <x v="1"/>
    <x v="0"/>
    <x v="3"/>
    <x v="3"/>
    <x v="6"/>
    <x v="2"/>
  </r>
  <r>
    <x v="1031"/>
    <x v="5"/>
    <x v="9"/>
    <x v="411"/>
    <n v="452.5"/>
    <x v="40"/>
    <d v="2025-02-17T00:00:00"/>
    <x v="1"/>
    <x v="0"/>
    <x v="2"/>
    <x v="0"/>
    <x v="3"/>
    <x v="6"/>
    <x v="6"/>
    <x v="1"/>
  </r>
  <r>
    <x v="1032"/>
    <x v="8"/>
    <x v="9"/>
    <x v="631"/>
    <n v="126.5"/>
    <x v="40"/>
    <d v="2025-02-14T00:00:00"/>
    <x v="2"/>
    <x v="0"/>
    <x v="2"/>
    <x v="0"/>
    <x v="3"/>
    <x v="5"/>
    <x v="6"/>
    <x v="2"/>
  </r>
  <r>
    <x v="1033"/>
    <x v="6"/>
    <x v="2"/>
    <x v="215"/>
    <n v="174.3"/>
    <x v="40"/>
    <d v="2025-02-14T00:00:00"/>
    <x v="0"/>
    <x v="0"/>
    <x v="2"/>
    <x v="0"/>
    <x v="3"/>
    <x v="5"/>
    <x v="6"/>
    <x v="0"/>
  </r>
  <r>
    <x v="1034"/>
    <x v="2"/>
    <x v="2"/>
    <x v="285"/>
    <n v="224.70000000000002"/>
    <x v="40"/>
    <d v="2025-02-11T00:00:00"/>
    <x v="2"/>
    <x v="4"/>
    <x v="0"/>
    <x v="0"/>
    <x v="3"/>
    <x v="3"/>
    <x v="6"/>
    <x v="2"/>
  </r>
  <r>
    <x v="1035"/>
    <x v="4"/>
    <x v="1"/>
    <x v="504"/>
    <n v="65"/>
    <x v="40"/>
    <d v="2025-02-11T00:00:00"/>
    <x v="1"/>
    <x v="2"/>
    <x v="2"/>
    <x v="0"/>
    <x v="43"/>
    <x v="3"/>
    <x v="6"/>
    <x v="1"/>
  </r>
  <r>
    <x v="1036"/>
    <x v="4"/>
    <x v="9"/>
    <x v="205"/>
    <n v="310"/>
    <x v="40"/>
    <d v="2025-02-11T00:00:00"/>
    <x v="1"/>
    <x v="4"/>
    <x v="2"/>
    <x v="0"/>
    <x v="25"/>
    <x v="3"/>
    <x v="6"/>
    <x v="1"/>
  </r>
  <r>
    <x v="1037"/>
    <x v="13"/>
    <x v="13"/>
    <x v="538"/>
    <n v="173.39999999999998"/>
    <x v="40"/>
    <d v="2025-02-13T00:00:00"/>
    <x v="2"/>
    <x v="0"/>
    <x v="1"/>
    <x v="0"/>
    <x v="6"/>
    <x v="2"/>
    <x v="6"/>
    <x v="2"/>
  </r>
  <r>
    <x v="1038"/>
    <x v="6"/>
    <x v="8"/>
    <x v="443"/>
    <n v="342.4"/>
    <x v="40"/>
    <d v="2025-02-12T00:00:00"/>
    <x v="2"/>
    <x v="0"/>
    <x v="2"/>
    <x v="0"/>
    <x v="6"/>
    <x v="1"/>
    <x v="6"/>
    <x v="2"/>
  </r>
  <r>
    <x v="1039"/>
    <x v="8"/>
    <x v="8"/>
    <x v="632"/>
    <n v="315.2"/>
    <x v="40"/>
    <d v="2025-02-12T00:00:00"/>
    <x v="1"/>
    <x v="0"/>
    <x v="0"/>
    <x v="0"/>
    <x v="36"/>
    <x v="1"/>
    <x v="6"/>
    <x v="1"/>
  </r>
  <r>
    <x v="1040"/>
    <x v="18"/>
    <x v="2"/>
    <x v="633"/>
    <n v="199.20000000000002"/>
    <x v="40"/>
    <d v="2025-02-11T00:00:00"/>
    <x v="0"/>
    <x v="2"/>
    <x v="1"/>
    <x v="0"/>
    <x v="7"/>
    <x v="3"/>
    <x v="6"/>
    <x v="0"/>
  </r>
  <r>
    <x v="1041"/>
    <x v="17"/>
    <x v="12"/>
    <x v="275"/>
    <n v="143.6"/>
    <x v="40"/>
    <d v="2025-02-17T00:00:00"/>
    <x v="2"/>
    <x v="1"/>
    <x v="0"/>
    <x v="0"/>
    <x v="7"/>
    <x v="6"/>
    <x v="6"/>
    <x v="2"/>
  </r>
  <r>
    <x v="1042"/>
    <x v="0"/>
    <x v="12"/>
    <x v="436"/>
    <n v="107.6"/>
    <x v="40"/>
    <d v="2025-02-11T00:00:00"/>
    <x v="1"/>
    <x v="1"/>
    <x v="0"/>
    <x v="0"/>
    <x v="7"/>
    <x v="3"/>
    <x v="6"/>
    <x v="1"/>
  </r>
  <r>
    <x v="1043"/>
    <x v="2"/>
    <x v="0"/>
    <x v="282"/>
    <n v="55.1"/>
    <x v="40"/>
    <d v="2025-02-11T00:00:00"/>
    <x v="2"/>
    <x v="0"/>
    <x v="0"/>
    <x v="0"/>
    <x v="7"/>
    <x v="3"/>
    <x v="6"/>
    <x v="2"/>
  </r>
  <r>
    <x v="1044"/>
    <x v="4"/>
    <x v="1"/>
    <x v="273"/>
    <n v="47.8"/>
    <x v="40"/>
    <d v="2025-02-11T00:00:00"/>
    <x v="1"/>
    <x v="0"/>
    <x v="2"/>
    <x v="0"/>
    <x v="8"/>
    <x v="3"/>
    <x v="6"/>
    <x v="1"/>
  </r>
  <r>
    <x v="1045"/>
    <x v="9"/>
    <x v="15"/>
    <x v="438"/>
    <n v="274.3"/>
    <x v="40"/>
    <d v="2025-02-18T00:00:00"/>
    <x v="2"/>
    <x v="0"/>
    <x v="1"/>
    <x v="0"/>
    <x v="8"/>
    <x v="9"/>
    <x v="6"/>
    <x v="2"/>
  </r>
  <r>
    <x v="1046"/>
    <x v="8"/>
    <x v="9"/>
    <x v="601"/>
    <n v="169"/>
    <x v="40"/>
    <d v="2025-02-12T00:00:00"/>
    <x v="2"/>
    <x v="0"/>
    <x v="0"/>
    <x v="0"/>
    <x v="8"/>
    <x v="1"/>
    <x v="6"/>
    <x v="2"/>
  </r>
  <r>
    <x v="1047"/>
    <x v="2"/>
    <x v="12"/>
    <x v="634"/>
    <n v="224.4"/>
    <x v="40"/>
    <d v="2025-02-10T00:00:00"/>
    <x v="2"/>
    <x v="3"/>
    <x v="2"/>
    <x v="0"/>
    <x v="9"/>
    <x v="7"/>
    <x v="6"/>
    <x v="2"/>
  </r>
  <r>
    <x v="1048"/>
    <x v="3"/>
    <x v="0"/>
    <x v="635"/>
    <n v="58.5"/>
    <x v="41"/>
    <d v="2025-02-15T00:00:00"/>
    <x v="2"/>
    <x v="1"/>
    <x v="2"/>
    <x v="0"/>
    <x v="9"/>
    <x v="5"/>
    <x v="6"/>
    <x v="2"/>
  </r>
  <r>
    <x v="1049"/>
    <x v="6"/>
    <x v="0"/>
    <x v="636"/>
    <n v="84.2"/>
    <x v="41"/>
    <d v="2025-02-13T00:00:00"/>
    <x v="1"/>
    <x v="3"/>
    <x v="0"/>
    <x v="0"/>
    <x v="11"/>
    <x v="1"/>
    <x v="6"/>
    <x v="1"/>
  </r>
  <r>
    <x v="1050"/>
    <x v="11"/>
    <x v="12"/>
    <x v="168"/>
    <n v="208"/>
    <x v="41"/>
    <d v="2025-02-14T00:00:00"/>
    <x v="1"/>
    <x v="0"/>
    <x v="0"/>
    <x v="0"/>
    <x v="11"/>
    <x v="2"/>
    <x v="6"/>
    <x v="1"/>
  </r>
  <r>
    <x v="1051"/>
    <x v="4"/>
    <x v="9"/>
    <x v="217"/>
    <n v="157.5"/>
    <x v="41"/>
    <d v="2025-02-12T00:00:00"/>
    <x v="2"/>
    <x v="0"/>
    <x v="2"/>
    <x v="0"/>
    <x v="11"/>
    <x v="3"/>
    <x v="6"/>
    <x v="2"/>
  </r>
  <r>
    <x v="1052"/>
    <x v="16"/>
    <x v="2"/>
    <x v="193"/>
    <n v="138.60000000000002"/>
    <x v="41"/>
    <d v="2025-02-12T00:00:00"/>
    <x v="1"/>
    <x v="0"/>
    <x v="0"/>
    <x v="0"/>
    <x v="53"/>
    <x v="3"/>
    <x v="6"/>
    <x v="1"/>
  </r>
  <r>
    <x v="1053"/>
    <x v="2"/>
    <x v="13"/>
    <x v="637"/>
    <n v="810"/>
    <x v="41"/>
    <d v="2025-02-12T00:00:00"/>
    <x v="2"/>
    <x v="1"/>
    <x v="2"/>
    <x v="0"/>
    <x v="18"/>
    <x v="3"/>
    <x v="6"/>
    <x v="2"/>
  </r>
  <r>
    <x v="1054"/>
    <x v="12"/>
    <x v="2"/>
    <x v="638"/>
    <n v="276.60000000000002"/>
    <x v="41"/>
    <d v="2025-02-15T00:00:00"/>
    <x v="1"/>
    <x v="0"/>
    <x v="0"/>
    <x v="0"/>
    <x v="21"/>
    <x v="5"/>
    <x v="6"/>
    <x v="1"/>
  </r>
  <r>
    <x v="1055"/>
    <x v="8"/>
    <x v="0"/>
    <x v="17"/>
    <n v="36.6"/>
    <x v="41"/>
    <d v="2025-02-13T00:00:00"/>
    <x v="1"/>
    <x v="2"/>
    <x v="2"/>
    <x v="0"/>
    <x v="21"/>
    <x v="1"/>
    <x v="6"/>
    <x v="1"/>
  </r>
  <r>
    <x v="1056"/>
    <x v="9"/>
    <x v="1"/>
    <x v="79"/>
    <n v="101.2"/>
    <x v="41"/>
    <d v="2025-02-14T00:00:00"/>
    <x v="2"/>
    <x v="0"/>
    <x v="0"/>
    <x v="0"/>
    <x v="2"/>
    <x v="2"/>
    <x v="6"/>
    <x v="2"/>
  </r>
  <r>
    <x v="1057"/>
    <x v="18"/>
    <x v="3"/>
    <x v="4"/>
    <n v="396.90000000000003"/>
    <x v="41"/>
    <d v="2025-02-14T00:00:00"/>
    <x v="2"/>
    <x v="0"/>
    <x v="0"/>
    <x v="0"/>
    <x v="2"/>
    <x v="2"/>
    <x v="6"/>
    <x v="2"/>
  </r>
  <r>
    <x v="1058"/>
    <x v="9"/>
    <x v="15"/>
    <x v="409"/>
    <n v="297.7"/>
    <x v="41"/>
    <d v="2025-02-12T00:00:00"/>
    <x v="2"/>
    <x v="0"/>
    <x v="1"/>
    <x v="0"/>
    <x v="44"/>
    <x v="3"/>
    <x v="6"/>
    <x v="2"/>
  </r>
  <r>
    <x v="1059"/>
    <x v="15"/>
    <x v="10"/>
    <x v="582"/>
    <n v="1018.4"/>
    <x v="41"/>
    <d v="2025-02-12T00:00:00"/>
    <x v="1"/>
    <x v="0"/>
    <x v="0"/>
    <x v="0"/>
    <x v="22"/>
    <x v="3"/>
    <x v="6"/>
    <x v="1"/>
  </r>
  <r>
    <x v="1060"/>
    <x v="18"/>
    <x v="1"/>
    <x v="224"/>
    <n v="60.4"/>
    <x v="41"/>
    <d v="2025-02-13T00:00:00"/>
    <x v="0"/>
    <x v="2"/>
    <x v="2"/>
    <x v="0"/>
    <x v="3"/>
    <x v="1"/>
    <x v="6"/>
    <x v="0"/>
  </r>
  <r>
    <x v="1061"/>
    <x v="15"/>
    <x v="13"/>
    <x v="298"/>
    <n v="500.40000000000003"/>
    <x v="41"/>
    <d v="2025-02-12T00:00:00"/>
    <x v="1"/>
    <x v="1"/>
    <x v="2"/>
    <x v="0"/>
    <x v="3"/>
    <x v="3"/>
    <x v="6"/>
    <x v="1"/>
  </r>
  <r>
    <x v="1062"/>
    <x v="13"/>
    <x v="4"/>
    <x v="639"/>
    <n v="199.20000000000002"/>
    <x v="41"/>
    <d v="2025-02-13T00:00:00"/>
    <x v="1"/>
    <x v="1"/>
    <x v="0"/>
    <x v="0"/>
    <x v="3"/>
    <x v="1"/>
    <x v="6"/>
    <x v="1"/>
  </r>
  <r>
    <x v="1063"/>
    <x v="8"/>
    <x v="14"/>
    <x v="421"/>
    <n v="372.29999999999995"/>
    <x v="41"/>
    <d v="2025-02-13T00:00:00"/>
    <x v="2"/>
    <x v="4"/>
    <x v="1"/>
    <x v="0"/>
    <x v="3"/>
    <x v="1"/>
    <x v="6"/>
    <x v="2"/>
  </r>
  <r>
    <x v="1064"/>
    <x v="8"/>
    <x v="31"/>
    <x v="601"/>
    <n v="946.39999999999986"/>
    <x v="41"/>
    <d v="2025-02-13T00:00:00"/>
    <x v="1"/>
    <x v="2"/>
    <x v="4"/>
    <x v="0"/>
    <x v="3"/>
    <x v="1"/>
    <x v="6"/>
    <x v="1"/>
  </r>
  <r>
    <x v="1065"/>
    <x v="18"/>
    <x v="1"/>
    <x v="459"/>
    <n v="106.4"/>
    <x v="41"/>
    <d v="2025-02-11T00:00:00"/>
    <x v="1"/>
    <x v="1"/>
    <x v="0"/>
    <x v="0"/>
    <x v="3"/>
    <x v="7"/>
    <x v="6"/>
    <x v="1"/>
  </r>
  <r>
    <x v="1066"/>
    <x v="2"/>
    <x v="1"/>
    <x v="640"/>
    <n v="353.4"/>
    <x v="41"/>
    <d v="2025-02-14T00:00:00"/>
    <x v="2"/>
    <x v="2"/>
    <x v="0"/>
    <x v="0"/>
    <x v="3"/>
    <x v="2"/>
    <x v="6"/>
    <x v="2"/>
  </r>
  <r>
    <x v="1067"/>
    <x v="12"/>
    <x v="2"/>
    <x v="641"/>
    <n v="162"/>
    <x v="41"/>
    <d v="2025-02-14T00:00:00"/>
    <x v="1"/>
    <x v="0"/>
    <x v="1"/>
    <x v="0"/>
    <x v="3"/>
    <x v="2"/>
    <x v="6"/>
    <x v="1"/>
  </r>
  <r>
    <x v="1068"/>
    <x v="9"/>
    <x v="1"/>
    <x v="163"/>
    <n v="140.19999999999999"/>
    <x v="41"/>
    <d v="2025-02-19T00:00:00"/>
    <x v="2"/>
    <x v="3"/>
    <x v="2"/>
    <x v="0"/>
    <x v="3"/>
    <x v="9"/>
    <x v="6"/>
    <x v="2"/>
  </r>
  <r>
    <x v="1069"/>
    <x v="8"/>
    <x v="0"/>
    <x v="38"/>
    <n v="26.5"/>
    <x v="41"/>
    <d v="2025-02-13T00:00:00"/>
    <x v="2"/>
    <x v="1"/>
    <x v="0"/>
    <x v="0"/>
    <x v="3"/>
    <x v="1"/>
    <x v="6"/>
    <x v="2"/>
  </r>
  <r>
    <x v="1070"/>
    <x v="7"/>
    <x v="9"/>
    <x v="346"/>
    <n v="445"/>
    <x v="41"/>
    <d v="2025-02-13T00:00:00"/>
    <x v="1"/>
    <x v="2"/>
    <x v="4"/>
    <x v="0"/>
    <x v="3"/>
    <x v="1"/>
    <x v="6"/>
    <x v="1"/>
  </r>
  <r>
    <x v="1071"/>
    <x v="1"/>
    <x v="13"/>
    <x v="642"/>
    <n v="282"/>
    <x v="41"/>
    <d v="2025-02-14T00:00:00"/>
    <x v="2"/>
    <x v="3"/>
    <x v="0"/>
    <x v="0"/>
    <x v="24"/>
    <x v="2"/>
    <x v="6"/>
    <x v="2"/>
  </r>
  <r>
    <x v="1072"/>
    <x v="3"/>
    <x v="1"/>
    <x v="204"/>
    <n v="110.4"/>
    <x v="41"/>
    <d v="2025-02-14T00:00:00"/>
    <x v="1"/>
    <x v="1"/>
    <x v="1"/>
    <x v="0"/>
    <x v="6"/>
    <x v="2"/>
    <x v="6"/>
    <x v="1"/>
  </r>
  <r>
    <x v="1073"/>
    <x v="8"/>
    <x v="39"/>
    <x v="57"/>
    <n v="1398.6"/>
    <x v="41"/>
    <d v="2025-02-25T00:00:00"/>
    <x v="1"/>
    <x v="1"/>
    <x v="2"/>
    <x v="0"/>
    <x v="6"/>
    <x v="12"/>
    <x v="6"/>
    <x v="1"/>
  </r>
  <r>
    <x v="1074"/>
    <x v="2"/>
    <x v="12"/>
    <x v="643"/>
    <n v="443.6"/>
    <x v="42"/>
    <d v="2025-02-12T00:00:00"/>
    <x v="1"/>
    <x v="2"/>
    <x v="4"/>
    <x v="0"/>
    <x v="6"/>
    <x v="7"/>
    <x v="6"/>
    <x v="1"/>
  </r>
  <r>
    <x v="1075"/>
    <x v="2"/>
    <x v="13"/>
    <x v="618"/>
    <n v="403.79999999999995"/>
    <x v="42"/>
    <d v="2025-02-13T00:00:00"/>
    <x v="1"/>
    <x v="0"/>
    <x v="0"/>
    <x v="0"/>
    <x v="8"/>
    <x v="3"/>
    <x v="6"/>
    <x v="1"/>
  </r>
  <r>
    <x v="1076"/>
    <x v="6"/>
    <x v="2"/>
    <x v="330"/>
    <n v="209.10000000000002"/>
    <x v="42"/>
    <d v="2025-02-13T00:00:00"/>
    <x v="1"/>
    <x v="2"/>
    <x v="1"/>
    <x v="0"/>
    <x v="8"/>
    <x v="3"/>
    <x v="6"/>
    <x v="1"/>
  </r>
  <r>
    <x v="1077"/>
    <x v="5"/>
    <x v="0"/>
    <x v="644"/>
    <n v="39.1"/>
    <x v="42"/>
    <d v="2025-02-17T00:00:00"/>
    <x v="1"/>
    <x v="0"/>
    <x v="1"/>
    <x v="0"/>
    <x v="17"/>
    <x v="0"/>
    <x v="6"/>
    <x v="1"/>
  </r>
  <r>
    <x v="1078"/>
    <x v="2"/>
    <x v="2"/>
    <x v="645"/>
    <n v="625.79999999999995"/>
    <x v="42"/>
    <d v="2025-02-12T00:00:00"/>
    <x v="1"/>
    <x v="4"/>
    <x v="2"/>
    <x v="0"/>
    <x v="17"/>
    <x v="7"/>
    <x v="6"/>
    <x v="1"/>
  </r>
  <r>
    <x v="1079"/>
    <x v="15"/>
    <x v="2"/>
    <x v="646"/>
    <n v="83.4"/>
    <x v="42"/>
    <d v="2025-02-13T00:00:00"/>
    <x v="1"/>
    <x v="3"/>
    <x v="1"/>
    <x v="0"/>
    <x v="11"/>
    <x v="3"/>
    <x v="6"/>
    <x v="1"/>
  </r>
  <r>
    <x v="1080"/>
    <x v="10"/>
    <x v="9"/>
    <x v="647"/>
    <n v="147"/>
    <x v="42"/>
    <d v="2025-02-14T00:00:00"/>
    <x v="2"/>
    <x v="0"/>
    <x v="0"/>
    <x v="0"/>
    <x v="11"/>
    <x v="1"/>
    <x v="6"/>
    <x v="2"/>
  </r>
  <r>
    <x v="1081"/>
    <x v="9"/>
    <x v="1"/>
    <x v="402"/>
    <n v="58.4"/>
    <x v="42"/>
    <d v="2025-02-14T00:00:00"/>
    <x v="2"/>
    <x v="1"/>
    <x v="2"/>
    <x v="0"/>
    <x v="20"/>
    <x v="1"/>
    <x v="6"/>
    <x v="2"/>
  </r>
  <r>
    <x v="1082"/>
    <x v="10"/>
    <x v="9"/>
    <x v="38"/>
    <n v="132.5"/>
    <x v="42"/>
    <d v="2025-02-14T00:00:00"/>
    <x v="2"/>
    <x v="0"/>
    <x v="0"/>
    <x v="0"/>
    <x v="52"/>
    <x v="1"/>
    <x v="6"/>
    <x v="2"/>
  </r>
  <r>
    <x v="1083"/>
    <x v="5"/>
    <x v="0"/>
    <x v="165"/>
    <n v="30.3"/>
    <x v="42"/>
    <d v="2025-02-13T00:00:00"/>
    <x v="2"/>
    <x v="4"/>
    <x v="1"/>
    <x v="0"/>
    <x v="13"/>
    <x v="3"/>
    <x v="6"/>
    <x v="2"/>
  </r>
  <r>
    <x v="1084"/>
    <x v="16"/>
    <x v="4"/>
    <x v="138"/>
    <n v="476.40000000000003"/>
    <x v="42"/>
    <d v="2025-02-13T00:00:00"/>
    <x v="2"/>
    <x v="0"/>
    <x v="0"/>
    <x v="0"/>
    <x v="21"/>
    <x v="3"/>
    <x v="6"/>
    <x v="2"/>
  </r>
  <r>
    <x v="1085"/>
    <x v="7"/>
    <x v="7"/>
    <x v="395"/>
    <n v="589"/>
    <x v="42"/>
    <d v="2025-02-14T00:00:00"/>
    <x v="2"/>
    <x v="1"/>
    <x v="4"/>
    <x v="0"/>
    <x v="21"/>
    <x v="1"/>
    <x v="6"/>
    <x v="2"/>
  </r>
  <r>
    <x v="1086"/>
    <x v="2"/>
    <x v="1"/>
    <x v="648"/>
    <n v="348.2"/>
    <x v="42"/>
    <d v="2025-02-14T00:00:00"/>
    <x v="2"/>
    <x v="0"/>
    <x v="1"/>
    <x v="0"/>
    <x v="46"/>
    <x v="1"/>
    <x v="6"/>
    <x v="2"/>
  </r>
  <r>
    <x v="1087"/>
    <x v="6"/>
    <x v="1"/>
    <x v="471"/>
    <n v="141.6"/>
    <x v="42"/>
    <d v="2025-02-15T00:00:00"/>
    <x v="1"/>
    <x v="2"/>
    <x v="0"/>
    <x v="0"/>
    <x v="22"/>
    <x v="2"/>
    <x v="6"/>
    <x v="1"/>
  </r>
  <r>
    <x v="1088"/>
    <x v="7"/>
    <x v="1"/>
    <x v="214"/>
    <n v="114.8"/>
    <x v="42"/>
    <d v="2025-02-14T00:00:00"/>
    <x v="2"/>
    <x v="1"/>
    <x v="1"/>
    <x v="0"/>
    <x v="34"/>
    <x v="1"/>
    <x v="6"/>
    <x v="2"/>
  </r>
  <r>
    <x v="1089"/>
    <x v="0"/>
    <x v="1"/>
    <x v="365"/>
    <n v="57"/>
    <x v="42"/>
    <d v="2025-02-14T00:00:00"/>
    <x v="1"/>
    <x v="3"/>
    <x v="1"/>
    <x v="0"/>
    <x v="3"/>
    <x v="1"/>
    <x v="6"/>
    <x v="1"/>
  </r>
  <r>
    <x v="1090"/>
    <x v="2"/>
    <x v="28"/>
    <x v="649"/>
    <n v="2132"/>
    <x v="42"/>
    <d v="2025-02-13T00:00:00"/>
    <x v="0"/>
    <x v="1"/>
    <x v="4"/>
    <x v="0"/>
    <x v="3"/>
    <x v="3"/>
    <x v="6"/>
    <x v="0"/>
  </r>
  <r>
    <x v="1091"/>
    <x v="2"/>
    <x v="2"/>
    <x v="650"/>
    <n v="359.1"/>
    <x v="42"/>
    <d v="2025-02-13T00:00:00"/>
    <x v="2"/>
    <x v="1"/>
    <x v="4"/>
    <x v="0"/>
    <x v="3"/>
    <x v="3"/>
    <x v="6"/>
    <x v="2"/>
  </r>
  <r>
    <x v="1092"/>
    <x v="18"/>
    <x v="0"/>
    <x v="651"/>
    <n v="73.3"/>
    <x v="42"/>
    <d v="2025-02-17T00:00:00"/>
    <x v="2"/>
    <x v="0"/>
    <x v="2"/>
    <x v="0"/>
    <x v="3"/>
    <x v="0"/>
    <x v="6"/>
    <x v="2"/>
  </r>
  <r>
    <x v="1093"/>
    <x v="0"/>
    <x v="1"/>
    <x v="136"/>
    <n v="51.6"/>
    <x v="42"/>
    <d v="2025-02-26T00:00:00"/>
    <x v="1"/>
    <x v="2"/>
    <x v="0"/>
    <x v="0"/>
    <x v="3"/>
    <x v="12"/>
    <x v="6"/>
    <x v="1"/>
  </r>
  <r>
    <x v="1094"/>
    <x v="17"/>
    <x v="2"/>
    <x v="182"/>
    <n v="147.30000000000001"/>
    <x v="42"/>
    <d v="2025-02-14T00:00:00"/>
    <x v="2"/>
    <x v="0"/>
    <x v="0"/>
    <x v="0"/>
    <x v="24"/>
    <x v="1"/>
    <x v="6"/>
    <x v="2"/>
  </r>
  <r>
    <x v="1095"/>
    <x v="1"/>
    <x v="0"/>
    <x v="125"/>
    <n v="44.9"/>
    <x v="42"/>
    <d v="2025-02-15T00:00:00"/>
    <x v="2"/>
    <x v="3"/>
    <x v="2"/>
    <x v="0"/>
    <x v="6"/>
    <x v="2"/>
    <x v="6"/>
    <x v="2"/>
  </r>
  <r>
    <x v="1096"/>
    <x v="15"/>
    <x v="3"/>
    <x v="32"/>
    <n v="209.29999999999998"/>
    <x v="42"/>
    <d v="2025-02-13T00:00:00"/>
    <x v="2"/>
    <x v="0"/>
    <x v="0"/>
    <x v="0"/>
    <x v="6"/>
    <x v="3"/>
    <x v="6"/>
    <x v="2"/>
  </r>
  <r>
    <x v="1097"/>
    <x v="7"/>
    <x v="1"/>
    <x v="352"/>
    <n v="108.6"/>
    <x v="43"/>
    <d v="2025-02-14T00:00:00"/>
    <x v="1"/>
    <x v="3"/>
    <x v="0"/>
    <x v="0"/>
    <x v="36"/>
    <x v="3"/>
    <x v="6"/>
    <x v="1"/>
  </r>
  <r>
    <x v="1098"/>
    <x v="9"/>
    <x v="12"/>
    <x v="551"/>
    <n v="228"/>
    <x v="43"/>
    <d v="2025-02-15T00:00:00"/>
    <x v="2"/>
    <x v="0"/>
    <x v="0"/>
    <x v="0"/>
    <x v="8"/>
    <x v="1"/>
    <x v="6"/>
    <x v="2"/>
  </r>
  <r>
    <x v="1099"/>
    <x v="2"/>
    <x v="0"/>
    <x v="652"/>
    <n v="139.19999999999999"/>
    <x v="43"/>
    <d v="2025-02-14T00:00:00"/>
    <x v="2"/>
    <x v="3"/>
    <x v="2"/>
    <x v="0"/>
    <x v="8"/>
    <x v="3"/>
    <x v="6"/>
    <x v="2"/>
  </r>
  <r>
    <x v="1100"/>
    <x v="10"/>
    <x v="0"/>
    <x v="614"/>
    <n v="33"/>
    <x v="43"/>
    <d v="2025-02-16T00:00:00"/>
    <x v="2"/>
    <x v="0"/>
    <x v="2"/>
    <x v="0"/>
    <x v="8"/>
    <x v="2"/>
    <x v="6"/>
    <x v="2"/>
  </r>
  <r>
    <x v="1101"/>
    <x v="11"/>
    <x v="13"/>
    <x v="454"/>
    <n v="481.20000000000005"/>
    <x v="43"/>
    <d v="2025-02-15T00:00:00"/>
    <x v="1"/>
    <x v="1"/>
    <x v="4"/>
    <x v="0"/>
    <x v="8"/>
    <x v="1"/>
    <x v="6"/>
    <x v="1"/>
  </r>
  <r>
    <x v="1102"/>
    <x v="18"/>
    <x v="8"/>
    <x v="11"/>
    <n v="392"/>
    <x v="43"/>
    <d v="2025-02-14T00:00:00"/>
    <x v="0"/>
    <x v="2"/>
    <x v="1"/>
    <x v="0"/>
    <x v="9"/>
    <x v="3"/>
    <x v="6"/>
    <x v="0"/>
  </r>
  <r>
    <x v="1103"/>
    <x v="1"/>
    <x v="12"/>
    <x v="653"/>
    <n v="417.6"/>
    <x v="43"/>
    <d v="2025-02-13T00:00:00"/>
    <x v="2"/>
    <x v="0"/>
    <x v="0"/>
    <x v="0"/>
    <x v="9"/>
    <x v="7"/>
    <x v="6"/>
    <x v="2"/>
  </r>
  <r>
    <x v="1104"/>
    <x v="3"/>
    <x v="0"/>
    <x v="654"/>
    <n v="41.6"/>
    <x v="43"/>
    <d v="2025-02-16T00:00:00"/>
    <x v="1"/>
    <x v="3"/>
    <x v="0"/>
    <x v="0"/>
    <x v="11"/>
    <x v="2"/>
    <x v="6"/>
    <x v="1"/>
  </r>
  <r>
    <x v="1105"/>
    <x v="19"/>
    <x v="1"/>
    <x v="655"/>
    <n v="32.799999999999997"/>
    <x v="43"/>
    <d v="2025-02-14T00:00:00"/>
    <x v="3"/>
    <x v="0"/>
    <x v="2"/>
    <x v="0"/>
    <x v="11"/>
    <x v="3"/>
    <x v="6"/>
    <x v="3"/>
  </r>
  <r>
    <x v="1106"/>
    <x v="8"/>
    <x v="1"/>
    <x v="595"/>
    <n v="44"/>
    <x v="43"/>
    <d v="2025-02-14T00:00:00"/>
    <x v="1"/>
    <x v="2"/>
    <x v="2"/>
    <x v="0"/>
    <x v="53"/>
    <x v="3"/>
    <x v="6"/>
    <x v="1"/>
  </r>
  <r>
    <x v="1107"/>
    <x v="15"/>
    <x v="1"/>
    <x v="570"/>
    <n v="67.2"/>
    <x v="43"/>
    <d v="2025-02-18T00:00:00"/>
    <x v="2"/>
    <x v="0"/>
    <x v="0"/>
    <x v="0"/>
    <x v="21"/>
    <x v="0"/>
    <x v="6"/>
    <x v="2"/>
  </r>
  <r>
    <x v="1108"/>
    <x v="11"/>
    <x v="13"/>
    <x v="280"/>
    <n v="258"/>
    <x v="43"/>
    <d v="2025-02-14T00:00:00"/>
    <x v="2"/>
    <x v="2"/>
    <x v="0"/>
    <x v="0"/>
    <x v="21"/>
    <x v="3"/>
    <x v="6"/>
    <x v="2"/>
  </r>
  <r>
    <x v="1109"/>
    <x v="6"/>
    <x v="9"/>
    <x v="586"/>
    <n v="544"/>
    <x v="43"/>
    <d v="2025-02-16T00:00:00"/>
    <x v="2"/>
    <x v="4"/>
    <x v="2"/>
    <x v="0"/>
    <x v="21"/>
    <x v="2"/>
    <x v="6"/>
    <x v="2"/>
  </r>
  <r>
    <x v="1110"/>
    <x v="0"/>
    <x v="11"/>
    <x v="143"/>
    <n v="263.7"/>
    <x v="43"/>
    <d v="2025-02-15T00:00:00"/>
    <x v="1"/>
    <x v="4"/>
    <x v="2"/>
    <x v="0"/>
    <x v="21"/>
    <x v="1"/>
    <x v="6"/>
    <x v="1"/>
  </r>
  <r>
    <x v="1111"/>
    <x v="2"/>
    <x v="0"/>
    <x v="656"/>
    <n v="122.7"/>
    <x v="43"/>
    <d v="2025-02-16T00:00:00"/>
    <x v="3"/>
    <x v="0"/>
    <x v="2"/>
    <x v="0"/>
    <x v="1"/>
    <x v="2"/>
    <x v="6"/>
    <x v="3"/>
  </r>
  <r>
    <x v="1112"/>
    <x v="4"/>
    <x v="3"/>
    <x v="409"/>
    <n v="160.29999999999998"/>
    <x v="43"/>
    <d v="2025-02-14T00:00:00"/>
    <x v="2"/>
    <x v="0"/>
    <x v="0"/>
    <x v="0"/>
    <x v="42"/>
    <x v="3"/>
    <x v="6"/>
    <x v="2"/>
  </r>
  <r>
    <x v="1113"/>
    <x v="8"/>
    <x v="7"/>
    <x v="423"/>
    <n v="255"/>
    <x v="43"/>
    <d v="2025-02-20T00:00:00"/>
    <x v="2"/>
    <x v="0"/>
    <x v="0"/>
    <x v="0"/>
    <x v="33"/>
    <x v="6"/>
    <x v="6"/>
    <x v="2"/>
  </r>
  <r>
    <x v="1114"/>
    <x v="17"/>
    <x v="2"/>
    <x v="139"/>
    <n v="70.199999999999989"/>
    <x v="43"/>
    <d v="2025-02-17T00:00:00"/>
    <x v="2"/>
    <x v="0"/>
    <x v="2"/>
    <x v="0"/>
    <x v="3"/>
    <x v="5"/>
    <x v="6"/>
    <x v="2"/>
  </r>
  <r>
    <x v="1115"/>
    <x v="5"/>
    <x v="8"/>
    <x v="336"/>
    <n v="219.2"/>
    <x v="43"/>
    <d v="2025-02-16T00:00:00"/>
    <x v="2"/>
    <x v="2"/>
    <x v="0"/>
    <x v="0"/>
    <x v="3"/>
    <x v="2"/>
    <x v="6"/>
    <x v="2"/>
  </r>
  <r>
    <x v="1116"/>
    <x v="5"/>
    <x v="9"/>
    <x v="657"/>
    <n v="342"/>
    <x v="43"/>
    <d v="2025-02-14T00:00:00"/>
    <x v="2"/>
    <x v="0"/>
    <x v="0"/>
    <x v="0"/>
    <x v="3"/>
    <x v="3"/>
    <x v="6"/>
    <x v="2"/>
  </r>
  <r>
    <x v="1117"/>
    <x v="6"/>
    <x v="0"/>
    <x v="424"/>
    <n v="51.9"/>
    <x v="43"/>
    <d v="2025-02-13T00:00:00"/>
    <x v="2"/>
    <x v="0"/>
    <x v="0"/>
    <x v="0"/>
    <x v="3"/>
    <x v="7"/>
    <x v="6"/>
    <x v="2"/>
  </r>
  <r>
    <x v="1118"/>
    <x v="0"/>
    <x v="9"/>
    <x v="23"/>
    <n v="132"/>
    <x v="43"/>
    <d v="2025-02-16T00:00:00"/>
    <x v="2"/>
    <x v="0"/>
    <x v="2"/>
    <x v="0"/>
    <x v="3"/>
    <x v="2"/>
    <x v="6"/>
    <x v="2"/>
  </r>
  <r>
    <x v="1119"/>
    <x v="12"/>
    <x v="1"/>
    <x v="658"/>
    <n v="234"/>
    <x v="43"/>
    <d v="2025-02-14T00:00:00"/>
    <x v="2"/>
    <x v="1"/>
    <x v="1"/>
    <x v="0"/>
    <x v="3"/>
    <x v="3"/>
    <x v="6"/>
    <x v="2"/>
  </r>
  <r>
    <x v="1120"/>
    <x v="7"/>
    <x v="2"/>
    <x v="659"/>
    <n v="148.80000000000001"/>
    <x v="44"/>
    <d v="2025-02-16T00:00:00"/>
    <x v="2"/>
    <x v="0"/>
    <x v="0"/>
    <x v="0"/>
    <x v="3"/>
    <x v="1"/>
    <x v="6"/>
    <x v="2"/>
  </r>
  <r>
    <x v="1121"/>
    <x v="4"/>
    <x v="2"/>
    <x v="545"/>
    <n v="114"/>
    <x v="44"/>
    <d v="2025-02-17T00:00:00"/>
    <x v="1"/>
    <x v="2"/>
    <x v="4"/>
    <x v="0"/>
    <x v="3"/>
    <x v="2"/>
    <x v="6"/>
    <x v="1"/>
  </r>
  <r>
    <x v="1122"/>
    <x v="0"/>
    <x v="2"/>
    <x v="468"/>
    <n v="61.800000000000004"/>
    <x v="44"/>
    <d v="2025-02-16T00:00:00"/>
    <x v="2"/>
    <x v="4"/>
    <x v="2"/>
    <x v="0"/>
    <x v="3"/>
    <x v="1"/>
    <x v="6"/>
    <x v="2"/>
  </r>
  <r>
    <x v="1123"/>
    <x v="0"/>
    <x v="1"/>
    <x v="398"/>
    <n v="32"/>
    <x v="44"/>
    <d v="2025-02-15T00:00:00"/>
    <x v="1"/>
    <x v="1"/>
    <x v="1"/>
    <x v="0"/>
    <x v="49"/>
    <x v="3"/>
    <x v="6"/>
    <x v="1"/>
  </r>
  <r>
    <x v="1124"/>
    <x v="15"/>
    <x v="12"/>
    <x v="660"/>
    <n v="197.2"/>
    <x v="44"/>
    <d v="2025-02-15T00:00:00"/>
    <x v="2"/>
    <x v="2"/>
    <x v="0"/>
    <x v="0"/>
    <x v="23"/>
    <x v="3"/>
    <x v="6"/>
    <x v="2"/>
  </r>
  <r>
    <x v="1125"/>
    <x v="9"/>
    <x v="1"/>
    <x v="661"/>
    <n v="48.2"/>
    <x v="44"/>
    <d v="2025-02-18T00:00:00"/>
    <x v="2"/>
    <x v="0"/>
    <x v="0"/>
    <x v="0"/>
    <x v="6"/>
    <x v="5"/>
    <x v="6"/>
    <x v="2"/>
  </r>
  <r>
    <x v="1126"/>
    <x v="15"/>
    <x v="8"/>
    <x v="195"/>
    <n v="261.60000000000002"/>
    <x v="44"/>
    <d v="2025-02-15T00:00:00"/>
    <x v="2"/>
    <x v="1"/>
    <x v="0"/>
    <x v="0"/>
    <x v="6"/>
    <x v="3"/>
    <x v="6"/>
    <x v="2"/>
  </r>
  <r>
    <x v="1127"/>
    <x v="6"/>
    <x v="2"/>
    <x v="603"/>
    <n v="223.20000000000002"/>
    <x v="44"/>
    <d v="2025-02-15T00:00:00"/>
    <x v="2"/>
    <x v="3"/>
    <x v="2"/>
    <x v="0"/>
    <x v="8"/>
    <x v="3"/>
    <x v="6"/>
    <x v="2"/>
  </r>
  <r>
    <x v="1128"/>
    <x v="12"/>
    <x v="0"/>
    <x v="357"/>
    <n v="45.6"/>
    <x v="44"/>
    <d v="2025-02-18T00:00:00"/>
    <x v="2"/>
    <x v="4"/>
    <x v="0"/>
    <x v="0"/>
    <x v="8"/>
    <x v="5"/>
    <x v="6"/>
    <x v="2"/>
  </r>
  <r>
    <x v="1129"/>
    <x v="8"/>
    <x v="8"/>
    <x v="266"/>
    <n v="156.80000000000001"/>
    <x v="44"/>
    <d v="2025-02-27T00:00:00"/>
    <x v="2"/>
    <x v="0"/>
    <x v="0"/>
    <x v="0"/>
    <x v="8"/>
    <x v="10"/>
    <x v="6"/>
    <x v="2"/>
  </r>
  <r>
    <x v="1130"/>
    <x v="9"/>
    <x v="0"/>
    <x v="147"/>
    <n v="51.8"/>
    <x v="44"/>
    <d v="2025-02-15T00:00:00"/>
    <x v="2"/>
    <x v="1"/>
    <x v="0"/>
    <x v="0"/>
    <x v="8"/>
    <x v="3"/>
    <x v="6"/>
    <x v="2"/>
  </r>
  <r>
    <x v="1131"/>
    <x v="6"/>
    <x v="0"/>
    <x v="492"/>
    <n v="74.7"/>
    <x v="44"/>
    <d v="2025-02-15T00:00:00"/>
    <x v="1"/>
    <x v="0"/>
    <x v="1"/>
    <x v="0"/>
    <x v="8"/>
    <x v="3"/>
    <x v="6"/>
    <x v="1"/>
  </r>
  <r>
    <x v="1132"/>
    <x v="19"/>
    <x v="2"/>
    <x v="9"/>
    <n v="67.199999999999989"/>
    <x v="44"/>
    <d v="2025-02-15T00:00:00"/>
    <x v="2"/>
    <x v="1"/>
    <x v="2"/>
    <x v="0"/>
    <x v="9"/>
    <x v="3"/>
    <x v="6"/>
    <x v="2"/>
  </r>
  <r>
    <x v="1133"/>
    <x v="1"/>
    <x v="12"/>
    <x v="541"/>
    <n v="125.6"/>
    <x v="44"/>
    <d v="2025-02-15T00:00:00"/>
    <x v="2"/>
    <x v="1"/>
    <x v="0"/>
    <x v="0"/>
    <x v="9"/>
    <x v="3"/>
    <x v="6"/>
    <x v="2"/>
  </r>
  <r>
    <x v="1134"/>
    <x v="6"/>
    <x v="0"/>
    <x v="420"/>
    <n v="94"/>
    <x v="44"/>
    <d v="2025-02-14T00:00:00"/>
    <x v="2"/>
    <x v="1"/>
    <x v="2"/>
    <x v="0"/>
    <x v="10"/>
    <x v="7"/>
    <x v="6"/>
    <x v="2"/>
  </r>
  <r>
    <x v="1135"/>
    <x v="10"/>
    <x v="0"/>
    <x v="208"/>
    <n v="22.3"/>
    <x v="44"/>
    <d v="2025-02-15T00:00:00"/>
    <x v="1"/>
    <x v="4"/>
    <x v="0"/>
    <x v="0"/>
    <x v="20"/>
    <x v="3"/>
    <x v="6"/>
    <x v="1"/>
  </r>
  <r>
    <x v="1136"/>
    <x v="0"/>
    <x v="0"/>
    <x v="421"/>
    <n v="21.9"/>
    <x v="44"/>
    <d v="2025-02-17T00:00:00"/>
    <x v="2"/>
    <x v="2"/>
    <x v="0"/>
    <x v="0"/>
    <x v="21"/>
    <x v="2"/>
    <x v="6"/>
    <x v="2"/>
  </r>
  <r>
    <x v="1137"/>
    <x v="17"/>
    <x v="2"/>
    <x v="49"/>
    <n v="81"/>
    <x v="44"/>
    <d v="2025-02-16T00:00:00"/>
    <x v="2"/>
    <x v="4"/>
    <x v="2"/>
    <x v="0"/>
    <x v="2"/>
    <x v="1"/>
    <x v="6"/>
    <x v="2"/>
  </r>
  <r>
    <x v="1138"/>
    <x v="2"/>
    <x v="12"/>
    <x v="662"/>
    <n v="598.4"/>
    <x v="44"/>
    <d v="2025-02-14T00:00:00"/>
    <x v="2"/>
    <x v="4"/>
    <x v="0"/>
    <x v="0"/>
    <x v="22"/>
    <x v="7"/>
    <x v="6"/>
    <x v="2"/>
  </r>
  <r>
    <x v="1139"/>
    <x v="2"/>
    <x v="12"/>
    <x v="663"/>
    <n v="516.4"/>
    <x v="44"/>
    <d v="2025-02-24T00:00:00"/>
    <x v="1"/>
    <x v="0"/>
    <x v="1"/>
    <x v="0"/>
    <x v="3"/>
    <x v="14"/>
    <x v="6"/>
    <x v="1"/>
  </r>
  <r>
    <x v="1140"/>
    <x v="1"/>
    <x v="4"/>
    <x v="664"/>
    <n v="484.79999999999995"/>
    <x v="44"/>
    <d v="2025-02-15T00:00:00"/>
    <x v="1"/>
    <x v="1"/>
    <x v="1"/>
    <x v="0"/>
    <x v="3"/>
    <x v="3"/>
    <x v="6"/>
    <x v="1"/>
  </r>
  <r>
    <x v="1141"/>
    <x v="4"/>
    <x v="2"/>
    <x v="286"/>
    <n v="145.5"/>
    <x v="44"/>
    <d v="2025-02-16T00:00:00"/>
    <x v="2"/>
    <x v="0"/>
    <x v="4"/>
    <x v="0"/>
    <x v="3"/>
    <x v="1"/>
    <x v="6"/>
    <x v="2"/>
  </r>
  <r>
    <x v="1142"/>
    <x v="9"/>
    <x v="1"/>
    <x v="410"/>
    <n v="75.2"/>
    <x v="44"/>
    <d v="2025-02-16T00:00:00"/>
    <x v="2"/>
    <x v="1"/>
    <x v="2"/>
    <x v="0"/>
    <x v="3"/>
    <x v="1"/>
    <x v="6"/>
    <x v="2"/>
  </r>
  <r>
    <x v="1143"/>
    <x v="8"/>
    <x v="1"/>
    <x v="266"/>
    <n v="39.200000000000003"/>
    <x v="44"/>
    <d v="2025-02-15T00:00:00"/>
    <x v="1"/>
    <x v="3"/>
    <x v="4"/>
    <x v="0"/>
    <x v="43"/>
    <x v="3"/>
    <x v="6"/>
    <x v="1"/>
  </r>
  <r>
    <x v="1144"/>
    <x v="8"/>
    <x v="9"/>
    <x v="99"/>
    <n v="92.5"/>
    <x v="44"/>
    <d v="2025-02-15T00:00:00"/>
    <x v="2"/>
    <x v="2"/>
    <x v="1"/>
    <x v="0"/>
    <x v="6"/>
    <x v="3"/>
    <x v="6"/>
    <x v="2"/>
  </r>
  <r>
    <x v="1145"/>
    <x v="5"/>
    <x v="2"/>
    <x v="423"/>
    <n v="76.5"/>
    <x v="44"/>
    <d v="2025-02-16T00:00:00"/>
    <x v="2"/>
    <x v="4"/>
    <x v="1"/>
    <x v="0"/>
    <x v="6"/>
    <x v="1"/>
    <x v="6"/>
    <x v="2"/>
  </r>
  <r>
    <x v="1146"/>
    <x v="2"/>
    <x v="1"/>
    <x v="568"/>
    <n v="189.4"/>
    <x v="44"/>
    <d v="2025-02-15T00:00:00"/>
    <x v="2"/>
    <x v="2"/>
    <x v="0"/>
    <x v="0"/>
    <x v="36"/>
    <x v="3"/>
    <x v="6"/>
    <x v="2"/>
  </r>
  <r>
    <x v="1147"/>
    <x v="1"/>
    <x v="13"/>
    <x v="665"/>
    <n v="232.79999999999998"/>
    <x v="44"/>
    <d v="2025-02-19T00:00:00"/>
    <x v="2"/>
    <x v="2"/>
    <x v="2"/>
    <x v="0"/>
    <x v="8"/>
    <x v="0"/>
    <x v="6"/>
    <x v="2"/>
  </r>
  <r>
    <x v="1148"/>
    <x v="9"/>
    <x v="1"/>
    <x v="183"/>
    <n v="98.8"/>
    <x v="45"/>
    <d v="2025-02-23T00:00:00"/>
    <x v="1"/>
    <x v="4"/>
    <x v="1"/>
    <x v="0"/>
    <x v="8"/>
    <x v="9"/>
    <x v="6"/>
    <x v="1"/>
  </r>
  <r>
    <x v="1149"/>
    <x v="7"/>
    <x v="2"/>
    <x v="666"/>
    <n v="204"/>
    <x v="45"/>
    <d v="2025-02-18T00:00:00"/>
    <x v="1"/>
    <x v="0"/>
    <x v="2"/>
    <x v="0"/>
    <x v="8"/>
    <x v="2"/>
    <x v="6"/>
    <x v="1"/>
  </r>
  <r>
    <x v="1150"/>
    <x v="15"/>
    <x v="3"/>
    <x v="46"/>
    <n v="445.90000000000003"/>
    <x v="45"/>
    <d v="2025-02-16T00:00:00"/>
    <x v="2"/>
    <x v="2"/>
    <x v="2"/>
    <x v="0"/>
    <x v="8"/>
    <x v="3"/>
    <x v="6"/>
    <x v="2"/>
  </r>
  <r>
    <x v="1151"/>
    <x v="10"/>
    <x v="1"/>
    <x v="667"/>
    <n v="132.4"/>
    <x v="45"/>
    <d v="2025-02-16T00:00:00"/>
    <x v="2"/>
    <x v="4"/>
    <x v="2"/>
    <x v="0"/>
    <x v="17"/>
    <x v="3"/>
    <x v="6"/>
    <x v="2"/>
  </r>
  <r>
    <x v="1152"/>
    <x v="12"/>
    <x v="2"/>
    <x v="240"/>
    <n v="96.899999999999991"/>
    <x v="45"/>
    <d v="2025-02-16T00:00:00"/>
    <x v="3"/>
    <x v="2"/>
    <x v="1"/>
    <x v="0"/>
    <x v="9"/>
    <x v="3"/>
    <x v="6"/>
    <x v="3"/>
  </r>
  <r>
    <x v="1153"/>
    <x v="4"/>
    <x v="1"/>
    <x v="668"/>
    <n v="133.80000000000001"/>
    <x v="45"/>
    <d v="2025-02-18T00:00:00"/>
    <x v="1"/>
    <x v="1"/>
    <x v="0"/>
    <x v="0"/>
    <x v="11"/>
    <x v="2"/>
    <x v="6"/>
    <x v="1"/>
  </r>
  <r>
    <x v="1154"/>
    <x v="4"/>
    <x v="4"/>
    <x v="19"/>
    <n v="302.39999999999998"/>
    <x v="45"/>
    <d v="2025-02-19T00:00:00"/>
    <x v="2"/>
    <x v="0"/>
    <x v="1"/>
    <x v="0"/>
    <x v="11"/>
    <x v="5"/>
    <x v="6"/>
    <x v="2"/>
  </r>
  <r>
    <x v="1155"/>
    <x v="10"/>
    <x v="13"/>
    <x v="669"/>
    <n v="177"/>
    <x v="45"/>
    <d v="2025-02-16T00:00:00"/>
    <x v="1"/>
    <x v="2"/>
    <x v="0"/>
    <x v="0"/>
    <x v="11"/>
    <x v="3"/>
    <x v="6"/>
    <x v="1"/>
  </r>
  <r>
    <x v="1156"/>
    <x v="8"/>
    <x v="9"/>
    <x v="592"/>
    <n v="108"/>
    <x v="45"/>
    <d v="2025-02-17T00:00:00"/>
    <x v="2"/>
    <x v="0"/>
    <x v="2"/>
    <x v="0"/>
    <x v="32"/>
    <x v="1"/>
    <x v="6"/>
    <x v="2"/>
  </r>
  <r>
    <x v="1157"/>
    <x v="12"/>
    <x v="2"/>
    <x v="192"/>
    <n v="207"/>
    <x v="45"/>
    <d v="2025-02-16T00:00:00"/>
    <x v="2"/>
    <x v="0"/>
    <x v="0"/>
    <x v="0"/>
    <x v="18"/>
    <x v="3"/>
    <x v="6"/>
    <x v="2"/>
  </r>
  <r>
    <x v="1158"/>
    <x v="7"/>
    <x v="1"/>
    <x v="670"/>
    <n v="230"/>
    <x v="45"/>
    <d v="2025-02-19T00:00:00"/>
    <x v="1"/>
    <x v="0"/>
    <x v="2"/>
    <x v="0"/>
    <x v="18"/>
    <x v="5"/>
    <x v="6"/>
    <x v="1"/>
  </r>
  <r>
    <x v="1159"/>
    <x v="2"/>
    <x v="1"/>
    <x v="671"/>
    <n v="218.6"/>
    <x v="45"/>
    <d v="2025-02-17T00:00:00"/>
    <x v="0"/>
    <x v="3"/>
    <x v="1"/>
    <x v="0"/>
    <x v="19"/>
    <x v="1"/>
    <x v="6"/>
    <x v="0"/>
  </r>
  <r>
    <x v="1160"/>
    <x v="9"/>
    <x v="1"/>
    <x v="450"/>
    <n v="133.19999999999999"/>
    <x v="45"/>
    <d v="2025-02-18T00:00:00"/>
    <x v="0"/>
    <x v="4"/>
    <x v="1"/>
    <x v="0"/>
    <x v="19"/>
    <x v="2"/>
    <x v="6"/>
    <x v="0"/>
  </r>
  <r>
    <x v="1161"/>
    <x v="12"/>
    <x v="9"/>
    <x v="672"/>
    <n v="238.5"/>
    <x v="45"/>
    <d v="2025-02-16T00:00:00"/>
    <x v="1"/>
    <x v="3"/>
    <x v="2"/>
    <x v="0"/>
    <x v="21"/>
    <x v="3"/>
    <x v="6"/>
    <x v="1"/>
  </r>
  <r>
    <x v="1162"/>
    <x v="8"/>
    <x v="1"/>
    <x v="544"/>
    <n v="92"/>
    <x v="45"/>
    <d v="2025-02-16T00:00:00"/>
    <x v="2"/>
    <x v="4"/>
    <x v="4"/>
    <x v="0"/>
    <x v="22"/>
    <x v="3"/>
    <x v="6"/>
    <x v="2"/>
  </r>
  <r>
    <x v="1163"/>
    <x v="1"/>
    <x v="13"/>
    <x v="418"/>
    <n v="235.79999999999998"/>
    <x v="45"/>
    <d v="2025-02-17T00:00:00"/>
    <x v="1"/>
    <x v="3"/>
    <x v="2"/>
    <x v="0"/>
    <x v="3"/>
    <x v="1"/>
    <x v="6"/>
    <x v="1"/>
  </r>
  <r>
    <x v="1164"/>
    <x v="9"/>
    <x v="0"/>
    <x v="673"/>
    <n v="70.2"/>
    <x v="45"/>
    <d v="2025-02-16T00:00:00"/>
    <x v="2"/>
    <x v="0"/>
    <x v="4"/>
    <x v="0"/>
    <x v="3"/>
    <x v="3"/>
    <x v="6"/>
    <x v="2"/>
  </r>
  <r>
    <x v="1165"/>
    <x v="3"/>
    <x v="12"/>
    <x v="674"/>
    <n v="286"/>
    <x v="45"/>
    <d v="2025-02-15T00:00:00"/>
    <x v="2"/>
    <x v="1"/>
    <x v="2"/>
    <x v="0"/>
    <x v="3"/>
    <x v="7"/>
    <x v="6"/>
    <x v="2"/>
  </r>
  <r>
    <x v="1166"/>
    <x v="10"/>
    <x v="3"/>
    <x v="452"/>
    <n v="217"/>
    <x v="45"/>
    <d v="2025-02-22T00:00:00"/>
    <x v="2"/>
    <x v="3"/>
    <x v="2"/>
    <x v="0"/>
    <x v="3"/>
    <x v="6"/>
    <x v="6"/>
    <x v="2"/>
  </r>
  <r>
    <x v="1167"/>
    <x v="2"/>
    <x v="9"/>
    <x v="197"/>
    <n v="341"/>
    <x v="45"/>
    <d v="2025-02-20T00:00:00"/>
    <x v="2"/>
    <x v="0"/>
    <x v="2"/>
    <x v="0"/>
    <x v="3"/>
    <x v="0"/>
    <x v="6"/>
    <x v="2"/>
  </r>
  <r>
    <x v="1168"/>
    <x v="2"/>
    <x v="0"/>
    <x v="338"/>
    <n v="91.4"/>
    <x v="45"/>
    <d v="2025-02-19T00:00:00"/>
    <x v="2"/>
    <x v="1"/>
    <x v="2"/>
    <x v="0"/>
    <x v="6"/>
    <x v="5"/>
    <x v="6"/>
    <x v="2"/>
  </r>
  <r>
    <x v="1169"/>
    <x v="6"/>
    <x v="7"/>
    <x v="675"/>
    <n v="1129"/>
    <x v="45"/>
    <d v="2025-02-16T00:00:00"/>
    <x v="2"/>
    <x v="0"/>
    <x v="0"/>
    <x v="0"/>
    <x v="6"/>
    <x v="3"/>
    <x v="6"/>
    <x v="2"/>
  </r>
  <r>
    <x v="1170"/>
    <x v="17"/>
    <x v="11"/>
    <x v="532"/>
    <n v="303.3"/>
    <x v="45"/>
    <d v="2025-02-16T00:00:00"/>
    <x v="2"/>
    <x v="1"/>
    <x v="2"/>
    <x v="0"/>
    <x v="8"/>
    <x v="3"/>
    <x v="6"/>
    <x v="2"/>
  </r>
  <r>
    <x v="1171"/>
    <x v="15"/>
    <x v="7"/>
    <x v="341"/>
    <n v="353"/>
    <x v="45"/>
    <d v="2025-02-17T00:00:00"/>
    <x v="1"/>
    <x v="2"/>
    <x v="0"/>
    <x v="0"/>
    <x v="8"/>
    <x v="1"/>
    <x v="6"/>
    <x v="1"/>
  </r>
  <r>
    <x v="1172"/>
    <x v="18"/>
    <x v="2"/>
    <x v="357"/>
    <n v="136.80000000000001"/>
    <x v="45"/>
    <d v="2025-02-19T00:00:00"/>
    <x v="1"/>
    <x v="3"/>
    <x v="0"/>
    <x v="0"/>
    <x v="8"/>
    <x v="5"/>
    <x v="6"/>
    <x v="1"/>
  </r>
  <r>
    <x v="1173"/>
    <x v="7"/>
    <x v="3"/>
    <x v="344"/>
    <n v="329.7"/>
    <x v="45"/>
    <d v="2025-02-16T00:00:00"/>
    <x v="2"/>
    <x v="4"/>
    <x v="2"/>
    <x v="0"/>
    <x v="9"/>
    <x v="3"/>
    <x v="6"/>
    <x v="2"/>
  </r>
  <r>
    <x v="1174"/>
    <x v="8"/>
    <x v="9"/>
    <x v="261"/>
    <n v="81"/>
    <x v="45"/>
    <d v="2025-02-17T00:00:00"/>
    <x v="2"/>
    <x v="3"/>
    <x v="2"/>
    <x v="0"/>
    <x v="19"/>
    <x v="1"/>
    <x v="6"/>
    <x v="2"/>
  </r>
  <r>
    <x v="1175"/>
    <x v="1"/>
    <x v="1"/>
    <x v="676"/>
    <n v="319.39999999999998"/>
    <x v="46"/>
    <d v="2025-02-17T00:00:00"/>
    <x v="1"/>
    <x v="4"/>
    <x v="0"/>
    <x v="0"/>
    <x v="13"/>
    <x v="3"/>
    <x v="7"/>
    <x v="1"/>
  </r>
  <r>
    <x v="1176"/>
    <x v="8"/>
    <x v="12"/>
    <x v="129"/>
    <n v="76"/>
    <x v="46"/>
    <d v="2025-02-23T00:00:00"/>
    <x v="2"/>
    <x v="2"/>
    <x v="2"/>
    <x v="0"/>
    <x v="21"/>
    <x v="6"/>
    <x v="7"/>
    <x v="2"/>
  </r>
  <r>
    <x v="1177"/>
    <x v="6"/>
    <x v="13"/>
    <x v="677"/>
    <n v="546.59999999999991"/>
    <x v="46"/>
    <d v="2025-02-25T00:00:00"/>
    <x v="2"/>
    <x v="4"/>
    <x v="0"/>
    <x v="0"/>
    <x v="21"/>
    <x v="8"/>
    <x v="7"/>
    <x v="2"/>
  </r>
  <r>
    <x v="1178"/>
    <x v="2"/>
    <x v="9"/>
    <x v="252"/>
    <n v="470.5"/>
    <x v="46"/>
    <d v="2025-02-19T00:00:00"/>
    <x v="0"/>
    <x v="1"/>
    <x v="1"/>
    <x v="0"/>
    <x v="21"/>
    <x v="2"/>
    <x v="7"/>
    <x v="0"/>
  </r>
  <r>
    <x v="1179"/>
    <x v="9"/>
    <x v="11"/>
    <x v="438"/>
    <n v="189.9"/>
    <x v="46"/>
    <d v="2025-02-17T00:00:00"/>
    <x v="2"/>
    <x v="4"/>
    <x v="2"/>
    <x v="0"/>
    <x v="51"/>
    <x v="3"/>
    <x v="7"/>
    <x v="2"/>
  </r>
  <r>
    <x v="1180"/>
    <x v="8"/>
    <x v="3"/>
    <x v="678"/>
    <n v="107.10000000000001"/>
    <x v="46"/>
    <d v="2025-02-24T00:00:00"/>
    <x v="2"/>
    <x v="2"/>
    <x v="0"/>
    <x v="0"/>
    <x v="1"/>
    <x v="9"/>
    <x v="7"/>
    <x v="2"/>
  </r>
  <r>
    <x v="1181"/>
    <x v="15"/>
    <x v="12"/>
    <x v="210"/>
    <n v="85.2"/>
    <x v="46"/>
    <d v="2025-02-19T00:00:00"/>
    <x v="1"/>
    <x v="1"/>
    <x v="0"/>
    <x v="0"/>
    <x v="3"/>
    <x v="2"/>
    <x v="7"/>
    <x v="1"/>
  </r>
  <r>
    <x v="1182"/>
    <x v="0"/>
    <x v="1"/>
    <x v="372"/>
    <n v="46.4"/>
    <x v="46"/>
    <d v="2025-02-16T00:00:00"/>
    <x v="0"/>
    <x v="3"/>
    <x v="1"/>
    <x v="0"/>
    <x v="3"/>
    <x v="7"/>
    <x v="7"/>
    <x v="0"/>
  </r>
  <r>
    <x v="1183"/>
    <x v="4"/>
    <x v="2"/>
    <x v="679"/>
    <n v="77.099999999999994"/>
    <x v="46"/>
    <d v="2025-02-17T00:00:00"/>
    <x v="1"/>
    <x v="4"/>
    <x v="0"/>
    <x v="0"/>
    <x v="3"/>
    <x v="3"/>
    <x v="7"/>
    <x v="1"/>
  </r>
  <r>
    <x v="1184"/>
    <x v="0"/>
    <x v="11"/>
    <x v="680"/>
    <n v="284.40000000000003"/>
    <x v="46"/>
    <d v="2025-02-18T00:00:00"/>
    <x v="2"/>
    <x v="0"/>
    <x v="0"/>
    <x v="0"/>
    <x v="3"/>
    <x v="1"/>
    <x v="7"/>
    <x v="2"/>
  </r>
  <r>
    <x v="1185"/>
    <x v="6"/>
    <x v="0"/>
    <x v="58"/>
    <n v="64.2"/>
    <x v="46"/>
    <d v="2025-02-21T00:00:00"/>
    <x v="1"/>
    <x v="0"/>
    <x v="0"/>
    <x v="0"/>
    <x v="3"/>
    <x v="0"/>
    <x v="7"/>
    <x v="1"/>
  </r>
  <r>
    <x v="1186"/>
    <x v="8"/>
    <x v="1"/>
    <x v="502"/>
    <n v="111.6"/>
    <x v="46"/>
    <d v="2025-02-18T00:00:00"/>
    <x v="0"/>
    <x v="0"/>
    <x v="0"/>
    <x v="0"/>
    <x v="3"/>
    <x v="1"/>
    <x v="7"/>
    <x v="0"/>
  </r>
  <r>
    <x v="1187"/>
    <x v="8"/>
    <x v="1"/>
    <x v="257"/>
    <n v="56.2"/>
    <x v="46"/>
    <d v="2025-02-17T00:00:00"/>
    <x v="2"/>
    <x v="4"/>
    <x v="1"/>
    <x v="0"/>
    <x v="3"/>
    <x v="3"/>
    <x v="7"/>
    <x v="2"/>
  </r>
  <r>
    <x v="1188"/>
    <x v="0"/>
    <x v="1"/>
    <x v="463"/>
    <n v="23.2"/>
    <x v="46"/>
    <d v="2025-02-18T00:00:00"/>
    <x v="2"/>
    <x v="1"/>
    <x v="0"/>
    <x v="0"/>
    <x v="24"/>
    <x v="1"/>
    <x v="7"/>
    <x v="2"/>
  </r>
  <r>
    <x v="1189"/>
    <x v="5"/>
    <x v="2"/>
    <x v="88"/>
    <n v="151.19999999999999"/>
    <x v="46"/>
    <d v="2025-02-17T00:00:00"/>
    <x v="1"/>
    <x v="4"/>
    <x v="2"/>
    <x v="0"/>
    <x v="25"/>
    <x v="3"/>
    <x v="7"/>
    <x v="1"/>
  </r>
  <r>
    <x v="1190"/>
    <x v="6"/>
    <x v="13"/>
    <x v="591"/>
    <n v="289.79999999999995"/>
    <x v="46"/>
    <d v="2025-02-20T00:00:00"/>
    <x v="2"/>
    <x v="0"/>
    <x v="0"/>
    <x v="0"/>
    <x v="25"/>
    <x v="5"/>
    <x v="7"/>
    <x v="2"/>
  </r>
  <r>
    <x v="1191"/>
    <x v="17"/>
    <x v="3"/>
    <x v="380"/>
    <n v="225.40000000000003"/>
    <x v="46"/>
    <d v="2025-02-18T00:00:00"/>
    <x v="2"/>
    <x v="2"/>
    <x v="0"/>
    <x v="0"/>
    <x v="25"/>
    <x v="1"/>
    <x v="7"/>
    <x v="2"/>
  </r>
  <r>
    <x v="1192"/>
    <x v="7"/>
    <x v="31"/>
    <x v="286"/>
    <n v="1358"/>
    <x v="46"/>
    <d v="2025-02-17T00:00:00"/>
    <x v="1"/>
    <x v="0"/>
    <x v="0"/>
    <x v="0"/>
    <x v="5"/>
    <x v="3"/>
    <x v="7"/>
    <x v="1"/>
  </r>
  <r>
    <x v="1193"/>
    <x v="2"/>
    <x v="9"/>
    <x v="205"/>
    <n v="310"/>
    <x v="46"/>
    <d v="2025-02-19T00:00:00"/>
    <x v="2"/>
    <x v="1"/>
    <x v="0"/>
    <x v="0"/>
    <x v="6"/>
    <x v="2"/>
    <x v="7"/>
    <x v="2"/>
  </r>
  <r>
    <x v="1194"/>
    <x v="8"/>
    <x v="2"/>
    <x v="201"/>
    <n v="96.300000000000011"/>
    <x v="47"/>
    <d v="2025-02-19T00:00:00"/>
    <x v="1"/>
    <x v="0"/>
    <x v="0"/>
    <x v="0"/>
    <x v="6"/>
    <x v="1"/>
    <x v="7"/>
    <x v="1"/>
  </r>
  <r>
    <x v="1195"/>
    <x v="12"/>
    <x v="2"/>
    <x v="681"/>
    <n v="318.29999999999995"/>
    <x v="47"/>
    <d v="2025-02-19T00:00:00"/>
    <x v="1"/>
    <x v="0"/>
    <x v="1"/>
    <x v="0"/>
    <x v="7"/>
    <x v="1"/>
    <x v="7"/>
    <x v="1"/>
  </r>
  <r>
    <x v="1196"/>
    <x v="10"/>
    <x v="2"/>
    <x v="234"/>
    <n v="70.5"/>
    <x v="47"/>
    <d v="2025-02-20T00:00:00"/>
    <x v="1"/>
    <x v="0"/>
    <x v="4"/>
    <x v="0"/>
    <x v="7"/>
    <x v="2"/>
    <x v="7"/>
    <x v="1"/>
  </r>
  <r>
    <x v="1197"/>
    <x v="1"/>
    <x v="1"/>
    <x v="533"/>
    <n v="71.2"/>
    <x v="47"/>
    <d v="2025-02-22T00:00:00"/>
    <x v="1"/>
    <x v="4"/>
    <x v="0"/>
    <x v="0"/>
    <x v="8"/>
    <x v="0"/>
    <x v="7"/>
    <x v="1"/>
  </r>
  <r>
    <x v="1198"/>
    <x v="1"/>
    <x v="1"/>
    <x v="427"/>
    <n v="127"/>
    <x v="47"/>
    <d v="2025-02-17T00:00:00"/>
    <x v="2"/>
    <x v="1"/>
    <x v="2"/>
    <x v="0"/>
    <x v="8"/>
    <x v="7"/>
    <x v="7"/>
    <x v="2"/>
  </r>
  <r>
    <x v="1199"/>
    <x v="6"/>
    <x v="3"/>
    <x v="682"/>
    <n v="580.30000000000007"/>
    <x v="47"/>
    <d v="2025-02-22T00:00:00"/>
    <x v="2"/>
    <x v="4"/>
    <x v="0"/>
    <x v="0"/>
    <x v="9"/>
    <x v="0"/>
    <x v="7"/>
    <x v="2"/>
  </r>
  <r>
    <x v="1200"/>
    <x v="6"/>
    <x v="1"/>
    <x v="331"/>
    <n v="167.2"/>
    <x v="47"/>
    <d v="2025-02-22T00:00:00"/>
    <x v="2"/>
    <x v="0"/>
    <x v="0"/>
    <x v="0"/>
    <x v="11"/>
    <x v="0"/>
    <x v="7"/>
    <x v="2"/>
  </r>
  <r>
    <x v="1201"/>
    <x v="4"/>
    <x v="1"/>
    <x v="647"/>
    <n v="58.8"/>
    <x v="47"/>
    <d v="2025-02-17T00:00:00"/>
    <x v="2"/>
    <x v="0"/>
    <x v="1"/>
    <x v="0"/>
    <x v="30"/>
    <x v="7"/>
    <x v="7"/>
    <x v="2"/>
  </r>
  <r>
    <x v="1202"/>
    <x v="2"/>
    <x v="2"/>
    <x v="683"/>
    <n v="321.29999999999995"/>
    <x v="47"/>
    <d v="2025-02-21T00:00:00"/>
    <x v="2"/>
    <x v="2"/>
    <x v="0"/>
    <x v="0"/>
    <x v="20"/>
    <x v="5"/>
    <x v="7"/>
    <x v="2"/>
  </r>
  <r>
    <x v="1203"/>
    <x v="2"/>
    <x v="0"/>
    <x v="407"/>
    <n v="62.7"/>
    <x v="47"/>
    <d v="2025-02-21T00:00:00"/>
    <x v="1"/>
    <x v="1"/>
    <x v="0"/>
    <x v="0"/>
    <x v="21"/>
    <x v="5"/>
    <x v="7"/>
    <x v="1"/>
  </r>
  <r>
    <x v="1204"/>
    <x v="11"/>
    <x v="0"/>
    <x v="654"/>
    <n v="41.6"/>
    <x v="47"/>
    <d v="2025-02-18T00:00:00"/>
    <x v="1"/>
    <x v="0"/>
    <x v="1"/>
    <x v="0"/>
    <x v="1"/>
    <x v="3"/>
    <x v="7"/>
    <x v="1"/>
  </r>
  <r>
    <x v="1205"/>
    <x v="6"/>
    <x v="0"/>
    <x v="236"/>
    <n v="44.2"/>
    <x v="47"/>
    <d v="2025-02-18T00:00:00"/>
    <x v="3"/>
    <x v="0"/>
    <x v="1"/>
    <x v="0"/>
    <x v="1"/>
    <x v="3"/>
    <x v="7"/>
    <x v="3"/>
  </r>
  <r>
    <x v="1206"/>
    <x v="4"/>
    <x v="13"/>
    <x v="664"/>
    <n v="242.39999999999998"/>
    <x v="47"/>
    <d v="2025-03-02T00:00:00"/>
    <x v="2"/>
    <x v="2"/>
    <x v="0"/>
    <x v="0"/>
    <x v="22"/>
    <x v="10"/>
    <x v="7"/>
    <x v="2"/>
  </r>
  <r>
    <x v="1207"/>
    <x v="15"/>
    <x v="13"/>
    <x v="684"/>
    <n v="357.6"/>
    <x v="47"/>
    <d v="2025-02-18T00:00:00"/>
    <x v="2"/>
    <x v="4"/>
    <x v="0"/>
    <x v="0"/>
    <x v="34"/>
    <x v="3"/>
    <x v="7"/>
    <x v="2"/>
  </r>
  <r>
    <x v="1208"/>
    <x v="17"/>
    <x v="4"/>
    <x v="259"/>
    <n v="765.59999999999991"/>
    <x v="47"/>
    <d v="2025-02-18T00:00:00"/>
    <x v="1"/>
    <x v="1"/>
    <x v="0"/>
    <x v="0"/>
    <x v="3"/>
    <x v="3"/>
    <x v="7"/>
    <x v="1"/>
  </r>
  <r>
    <x v="1209"/>
    <x v="9"/>
    <x v="13"/>
    <x v="607"/>
    <n v="184.8"/>
    <x v="47"/>
    <d v="2025-02-19T00:00:00"/>
    <x v="1"/>
    <x v="4"/>
    <x v="0"/>
    <x v="0"/>
    <x v="3"/>
    <x v="1"/>
    <x v="7"/>
    <x v="1"/>
  </r>
  <r>
    <x v="1210"/>
    <x v="1"/>
    <x v="1"/>
    <x v="329"/>
    <n v="83"/>
    <x v="47"/>
    <d v="2025-02-20T00:00:00"/>
    <x v="3"/>
    <x v="0"/>
    <x v="0"/>
    <x v="0"/>
    <x v="3"/>
    <x v="2"/>
    <x v="7"/>
    <x v="3"/>
  </r>
  <r>
    <x v="1211"/>
    <x v="10"/>
    <x v="12"/>
    <x v="613"/>
    <n v="178.8"/>
    <x v="47"/>
    <d v="2025-02-19T00:00:00"/>
    <x v="2"/>
    <x v="2"/>
    <x v="1"/>
    <x v="0"/>
    <x v="3"/>
    <x v="1"/>
    <x v="7"/>
    <x v="2"/>
  </r>
  <r>
    <x v="1212"/>
    <x v="12"/>
    <x v="1"/>
    <x v="444"/>
    <n v="128.19999999999999"/>
    <x v="47"/>
    <d v="2025-02-21T00:00:00"/>
    <x v="2"/>
    <x v="1"/>
    <x v="4"/>
    <x v="0"/>
    <x v="3"/>
    <x v="5"/>
    <x v="7"/>
    <x v="2"/>
  </r>
  <r>
    <x v="1213"/>
    <x v="8"/>
    <x v="0"/>
    <x v="496"/>
    <n v="15.9"/>
    <x v="47"/>
    <d v="2025-02-20T00:00:00"/>
    <x v="0"/>
    <x v="1"/>
    <x v="0"/>
    <x v="0"/>
    <x v="3"/>
    <x v="2"/>
    <x v="7"/>
    <x v="0"/>
  </r>
  <r>
    <x v="1214"/>
    <x v="6"/>
    <x v="1"/>
    <x v="685"/>
    <n v="157.4"/>
    <x v="47"/>
    <d v="2025-02-17T00:00:00"/>
    <x v="2"/>
    <x v="2"/>
    <x v="1"/>
    <x v="0"/>
    <x v="3"/>
    <x v="7"/>
    <x v="7"/>
    <x v="2"/>
  </r>
  <r>
    <x v="1215"/>
    <x v="5"/>
    <x v="4"/>
    <x v="686"/>
    <n v="355.20000000000005"/>
    <x v="47"/>
    <d v="2025-02-21T00:00:00"/>
    <x v="1"/>
    <x v="2"/>
    <x v="4"/>
    <x v="0"/>
    <x v="3"/>
    <x v="5"/>
    <x v="7"/>
    <x v="1"/>
  </r>
  <r>
    <x v="1216"/>
    <x v="8"/>
    <x v="12"/>
    <x v="332"/>
    <n v="86"/>
    <x v="47"/>
    <d v="2025-02-20T00:00:00"/>
    <x v="1"/>
    <x v="1"/>
    <x v="0"/>
    <x v="0"/>
    <x v="3"/>
    <x v="2"/>
    <x v="7"/>
    <x v="1"/>
  </r>
  <r>
    <x v="1217"/>
    <x v="9"/>
    <x v="2"/>
    <x v="285"/>
    <n v="224.70000000000002"/>
    <x v="47"/>
    <d v="2025-02-26T00:00:00"/>
    <x v="1"/>
    <x v="3"/>
    <x v="1"/>
    <x v="0"/>
    <x v="3"/>
    <x v="8"/>
    <x v="7"/>
    <x v="1"/>
  </r>
  <r>
    <x v="1218"/>
    <x v="10"/>
    <x v="13"/>
    <x v="303"/>
    <n v="270"/>
    <x v="47"/>
    <d v="2025-02-22T00:00:00"/>
    <x v="2"/>
    <x v="2"/>
    <x v="0"/>
    <x v="0"/>
    <x v="3"/>
    <x v="0"/>
    <x v="7"/>
    <x v="2"/>
  </r>
  <r>
    <x v="1219"/>
    <x v="7"/>
    <x v="33"/>
    <x v="430"/>
    <n v="1288.5999999999999"/>
    <x v="47"/>
    <d v="2025-02-18T00:00:00"/>
    <x v="1"/>
    <x v="0"/>
    <x v="0"/>
    <x v="0"/>
    <x v="3"/>
    <x v="3"/>
    <x v="7"/>
    <x v="1"/>
  </r>
  <r>
    <x v="1220"/>
    <x v="6"/>
    <x v="2"/>
    <x v="472"/>
    <n v="169.8"/>
    <x v="47"/>
    <d v="2025-02-18T00:00:00"/>
    <x v="1"/>
    <x v="3"/>
    <x v="0"/>
    <x v="0"/>
    <x v="3"/>
    <x v="3"/>
    <x v="7"/>
    <x v="1"/>
  </r>
  <r>
    <x v="1221"/>
    <x v="3"/>
    <x v="15"/>
    <x v="100"/>
    <n v="1098.5"/>
    <x v="47"/>
    <d v="2025-02-20T00:00:00"/>
    <x v="2"/>
    <x v="1"/>
    <x v="4"/>
    <x v="0"/>
    <x v="3"/>
    <x v="2"/>
    <x v="7"/>
    <x v="2"/>
  </r>
  <r>
    <x v="1222"/>
    <x v="2"/>
    <x v="9"/>
    <x v="460"/>
    <n v="527"/>
    <x v="47"/>
    <d v="2025-02-19T00:00:00"/>
    <x v="2"/>
    <x v="1"/>
    <x v="1"/>
    <x v="0"/>
    <x v="3"/>
    <x v="1"/>
    <x v="7"/>
    <x v="2"/>
  </r>
  <r>
    <x v="1223"/>
    <x v="18"/>
    <x v="3"/>
    <x v="632"/>
    <n v="275.8"/>
    <x v="48"/>
    <d v="2025-02-18T00:00:00"/>
    <x v="1"/>
    <x v="1"/>
    <x v="0"/>
    <x v="0"/>
    <x v="37"/>
    <x v="7"/>
    <x v="7"/>
    <x v="1"/>
  </r>
  <r>
    <x v="1224"/>
    <x v="19"/>
    <x v="2"/>
    <x v="545"/>
    <n v="114"/>
    <x v="48"/>
    <d v="2025-02-21T00:00:00"/>
    <x v="1"/>
    <x v="4"/>
    <x v="1"/>
    <x v="0"/>
    <x v="6"/>
    <x v="2"/>
    <x v="7"/>
    <x v="1"/>
  </r>
  <r>
    <x v="1225"/>
    <x v="17"/>
    <x v="12"/>
    <x v="687"/>
    <n v="170"/>
    <x v="48"/>
    <d v="2025-02-20T00:00:00"/>
    <x v="0"/>
    <x v="0"/>
    <x v="0"/>
    <x v="0"/>
    <x v="6"/>
    <x v="1"/>
    <x v="7"/>
    <x v="0"/>
  </r>
  <r>
    <x v="1226"/>
    <x v="15"/>
    <x v="0"/>
    <x v="556"/>
    <n v="62.3"/>
    <x v="48"/>
    <d v="2025-02-27T00:00:00"/>
    <x v="1"/>
    <x v="0"/>
    <x v="2"/>
    <x v="0"/>
    <x v="6"/>
    <x v="8"/>
    <x v="7"/>
    <x v="1"/>
  </r>
  <r>
    <x v="1227"/>
    <x v="6"/>
    <x v="9"/>
    <x v="182"/>
    <n v="245.5"/>
    <x v="48"/>
    <d v="2025-02-20T00:00:00"/>
    <x v="2"/>
    <x v="1"/>
    <x v="2"/>
    <x v="0"/>
    <x v="7"/>
    <x v="1"/>
    <x v="7"/>
    <x v="2"/>
  </r>
  <r>
    <x v="1228"/>
    <x v="3"/>
    <x v="1"/>
    <x v="162"/>
    <n v="61"/>
    <x v="48"/>
    <d v="2025-02-21T00:00:00"/>
    <x v="1"/>
    <x v="0"/>
    <x v="2"/>
    <x v="0"/>
    <x v="8"/>
    <x v="2"/>
    <x v="7"/>
    <x v="1"/>
  </r>
  <r>
    <x v="1229"/>
    <x v="2"/>
    <x v="1"/>
    <x v="688"/>
    <n v="309.60000000000002"/>
    <x v="48"/>
    <d v="2025-02-21T00:00:00"/>
    <x v="2"/>
    <x v="1"/>
    <x v="4"/>
    <x v="0"/>
    <x v="8"/>
    <x v="2"/>
    <x v="7"/>
    <x v="2"/>
  </r>
  <r>
    <x v="1230"/>
    <x v="6"/>
    <x v="0"/>
    <x v="303"/>
    <n v="45"/>
    <x v="48"/>
    <d v="2025-02-22T00:00:00"/>
    <x v="1"/>
    <x v="3"/>
    <x v="1"/>
    <x v="0"/>
    <x v="8"/>
    <x v="5"/>
    <x v="7"/>
    <x v="1"/>
  </r>
  <r>
    <x v="1231"/>
    <x v="0"/>
    <x v="3"/>
    <x v="678"/>
    <n v="107.10000000000001"/>
    <x v="48"/>
    <d v="2025-02-19T00:00:00"/>
    <x v="1"/>
    <x v="0"/>
    <x v="2"/>
    <x v="0"/>
    <x v="8"/>
    <x v="3"/>
    <x v="7"/>
    <x v="1"/>
  </r>
  <r>
    <x v="1232"/>
    <x v="2"/>
    <x v="5"/>
    <x v="689"/>
    <n v="974.59999999999991"/>
    <x v="48"/>
    <d v="2025-02-21T00:00:00"/>
    <x v="2"/>
    <x v="0"/>
    <x v="4"/>
    <x v="0"/>
    <x v="17"/>
    <x v="2"/>
    <x v="7"/>
    <x v="2"/>
  </r>
  <r>
    <x v="1233"/>
    <x v="9"/>
    <x v="1"/>
    <x v="235"/>
    <n v="99.4"/>
    <x v="48"/>
    <d v="2025-02-20T00:00:00"/>
    <x v="3"/>
    <x v="4"/>
    <x v="0"/>
    <x v="0"/>
    <x v="10"/>
    <x v="1"/>
    <x v="7"/>
    <x v="3"/>
  </r>
  <r>
    <x v="1234"/>
    <x v="10"/>
    <x v="0"/>
    <x v="690"/>
    <n v="29"/>
    <x v="48"/>
    <d v="2025-02-19T00:00:00"/>
    <x v="1"/>
    <x v="0"/>
    <x v="0"/>
    <x v="0"/>
    <x v="11"/>
    <x v="3"/>
    <x v="7"/>
    <x v="1"/>
  </r>
  <r>
    <x v="1235"/>
    <x v="1"/>
    <x v="0"/>
    <x v="552"/>
    <n v="60.7"/>
    <x v="48"/>
    <d v="2025-02-19T00:00:00"/>
    <x v="3"/>
    <x v="0"/>
    <x v="1"/>
    <x v="0"/>
    <x v="11"/>
    <x v="3"/>
    <x v="7"/>
    <x v="3"/>
  </r>
  <r>
    <x v="1236"/>
    <x v="17"/>
    <x v="12"/>
    <x v="691"/>
    <n v="349.6"/>
    <x v="48"/>
    <d v="2025-02-20T00:00:00"/>
    <x v="0"/>
    <x v="0"/>
    <x v="0"/>
    <x v="0"/>
    <x v="11"/>
    <x v="1"/>
    <x v="7"/>
    <x v="0"/>
  </r>
  <r>
    <x v="1237"/>
    <x v="4"/>
    <x v="3"/>
    <x v="239"/>
    <n v="311.5"/>
    <x v="48"/>
    <d v="2025-02-22T00:00:00"/>
    <x v="2"/>
    <x v="2"/>
    <x v="2"/>
    <x v="0"/>
    <x v="19"/>
    <x v="5"/>
    <x v="7"/>
    <x v="2"/>
  </r>
  <r>
    <x v="1238"/>
    <x v="2"/>
    <x v="0"/>
    <x v="692"/>
    <n v="141"/>
    <x v="48"/>
    <d v="2025-02-19T00:00:00"/>
    <x v="1"/>
    <x v="4"/>
    <x v="2"/>
    <x v="0"/>
    <x v="19"/>
    <x v="3"/>
    <x v="7"/>
    <x v="1"/>
  </r>
  <r>
    <x v="1239"/>
    <x v="0"/>
    <x v="2"/>
    <x v="569"/>
    <n v="50.099999999999994"/>
    <x v="48"/>
    <d v="2025-02-26T00:00:00"/>
    <x v="2"/>
    <x v="0"/>
    <x v="0"/>
    <x v="0"/>
    <x v="20"/>
    <x v="9"/>
    <x v="7"/>
    <x v="2"/>
  </r>
  <r>
    <x v="1240"/>
    <x v="1"/>
    <x v="1"/>
    <x v="693"/>
    <n v="155"/>
    <x v="48"/>
    <d v="2025-02-19T00:00:00"/>
    <x v="0"/>
    <x v="2"/>
    <x v="2"/>
    <x v="0"/>
    <x v="13"/>
    <x v="3"/>
    <x v="7"/>
    <x v="0"/>
  </r>
  <r>
    <x v="1241"/>
    <x v="2"/>
    <x v="1"/>
    <x v="694"/>
    <n v="326"/>
    <x v="48"/>
    <d v="2025-02-24T00:00:00"/>
    <x v="2"/>
    <x v="4"/>
    <x v="0"/>
    <x v="0"/>
    <x v="21"/>
    <x v="4"/>
    <x v="7"/>
    <x v="2"/>
  </r>
  <r>
    <x v="1242"/>
    <x v="4"/>
    <x v="11"/>
    <x v="302"/>
    <n v="192.6"/>
    <x v="48"/>
    <d v="2025-02-21T00:00:00"/>
    <x v="2"/>
    <x v="0"/>
    <x v="0"/>
    <x v="0"/>
    <x v="51"/>
    <x v="2"/>
    <x v="7"/>
    <x v="2"/>
  </r>
  <r>
    <x v="1243"/>
    <x v="10"/>
    <x v="5"/>
    <x v="452"/>
    <n v="341"/>
    <x v="48"/>
    <d v="2025-02-20T00:00:00"/>
    <x v="2"/>
    <x v="3"/>
    <x v="2"/>
    <x v="0"/>
    <x v="1"/>
    <x v="1"/>
    <x v="7"/>
    <x v="2"/>
  </r>
  <r>
    <x v="1244"/>
    <x v="7"/>
    <x v="1"/>
    <x v="695"/>
    <n v="68.599999999999994"/>
    <x v="48"/>
    <d v="2025-02-20T00:00:00"/>
    <x v="2"/>
    <x v="0"/>
    <x v="3"/>
    <x v="0"/>
    <x v="1"/>
    <x v="1"/>
    <x v="7"/>
    <x v="2"/>
  </r>
  <r>
    <x v="1245"/>
    <x v="17"/>
    <x v="9"/>
    <x v="297"/>
    <n v="241"/>
    <x v="48"/>
    <d v="2025-02-19T00:00:00"/>
    <x v="1"/>
    <x v="1"/>
    <x v="1"/>
    <x v="0"/>
    <x v="2"/>
    <x v="3"/>
    <x v="7"/>
    <x v="1"/>
  </r>
  <r>
    <x v="1246"/>
    <x v="10"/>
    <x v="0"/>
    <x v="258"/>
    <n v="51.4"/>
    <x v="48"/>
    <d v="2025-02-19T00:00:00"/>
    <x v="1"/>
    <x v="0"/>
    <x v="0"/>
    <x v="0"/>
    <x v="3"/>
    <x v="3"/>
    <x v="7"/>
    <x v="1"/>
  </r>
  <r>
    <x v="1247"/>
    <x v="2"/>
    <x v="9"/>
    <x v="696"/>
    <n v="586"/>
    <x v="48"/>
    <d v="2025-02-21T00:00:00"/>
    <x v="2"/>
    <x v="4"/>
    <x v="4"/>
    <x v="0"/>
    <x v="3"/>
    <x v="2"/>
    <x v="7"/>
    <x v="2"/>
  </r>
  <r>
    <x v="1248"/>
    <x v="8"/>
    <x v="0"/>
    <x v="202"/>
    <n v="38.1"/>
    <x v="48"/>
    <d v="2025-02-18T00:00:00"/>
    <x v="1"/>
    <x v="4"/>
    <x v="1"/>
    <x v="0"/>
    <x v="3"/>
    <x v="7"/>
    <x v="7"/>
    <x v="1"/>
  </r>
  <r>
    <x v="1249"/>
    <x v="0"/>
    <x v="1"/>
    <x v="369"/>
    <n v="88.2"/>
    <x v="48"/>
    <d v="2025-02-20T00:00:00"/>
    <x v="2"/>
    <x v="2"/>
    <x v="0"/>
    <x v="0"/>
    <x v="3"/>
    <x v="1"/>
    <x v="7"/>
    <x v="2"/>
  </r>
  <r>
    <x v="1250"/>
    <x v="15"/>
    <x v="12"/>
    <x v="697"/>
    <n v="322"/>
    <x v="48"/>
    <d v="2025-02-23T00:00:00"/>
    <x v="1"/>
    <x v="0"/>
    <x v="0"/>
    <x v="0"/>
    <x v="3"/>
    <x v="0"/>
    <x v="7"/>
    <x v="1"/>
  </r>
  <r>
    <x v="1251"/>
    <x v="18"/>
    <x v="12"/>
    <x v="570"/>
    <n v="134.4"/>
    <x v="48"/>
    <d v="2025-02-23T00:00:00"/>
    <x v="0"/>
    <x v="0"/>
    <x v="2"/>
    <x v="0"/>
    <x v="3"/>
    <x v="0"/>
    <x v="7"/>
    <x v="0"/>
  </r>
  <r>
    <x v="1252"/>
    <x v="9"/>
    <x v="11"/>
    <x v="80"/>
    <n v="376.2"/>
    <x v="48"/>
    <d v="2025-02-19T00:00:00"/>
    <x v="2"/>
    <x v="0"/>
    <x v="1"/>
    <x v="0"/>
    <x v="3"/>
    <x v="3"/>
    <x v="7"/>
    <x v="2"/>
  </r>
  <r>
    <x v="1253"/>
    <x v="1"/>
    <x v="1"/>
    <x v="698"/>
    <n v="212.4"/>
    <x v="48"/>
    <d v="2025-02-18T00:00:00"/>
    <x v="2"/>
    <x v="4"/>
    <x v="2"/>
    <x v="0"/>
    <x v="3"/>
    <x v="7"/>
    <x v="7"/>
    <x v="2"/>
  </r>
  <r>
    <x v="1254"/>
    <x v="1"/>
    <x v="1"/>
    <x v="699"/>
    <n v="105.2"/>
    <x v="48"/>
    <d v="2025-02-19T00:00:00"/>
    <x v="2"/>
    <x v="0"/>
    <x v="2"/>
    <x v="0"/>
    <x v="5"/>
    <x v="3"/>
    <x v="7"/>
    <x v="2"/>
  </r>
  <r>
    <x v="1255"/>
    <x v="11"/>
    <x v="3"/>
    <x v="419"/>
    <n v="479.5"/>
    <x v="48"/>
    <d v="2025-02-19T00:00:00"/>
    <x v="2"/>
    <x v="1"/>
    <x v="0"/>
    <x v="0"/>
    <x v="5"/>
    <x v="3"/>
    <x v="7"/>
    <x v="2"/>
  </r>
  <r>
    <x v="1256"/>
    <x v="1"/>
    <x v="1"/>
    <x v="495"/>
    <n v="111.2"/>
    <x v="48"/>
    <d v="2025-02-20T00:00:00"/>
    <x v="1"/>
    <x v="1"/>
    <x v="2"/>
    <x v="0"/>
    <x v="6"/>
    <x v="1"/>
    <x v="7"/>
    <x v="1"/>
  </r>
  <r>
    <x v="1257"/>
    <x v="2"/>
    <x v="2"/>
    <x v="700"/>
    <n v="404.70000000000005"/>
    <x v="48"/>
    <d v="2025-02-19T00:00:00"/>
    <x v="1"/>
    <x v="1"/>
    <x v="1"/>
    <x v="0"/>
    <x v="6"/>
    <x v="3"/>
    <x v="7"/>
    <x v="1"/>
  </r>
  <r>
    <x v="1258"/>
    <x v="10"/>
    <x v="9"/>
    <x v="325"/>
    <n v="213"/>
    <x v="48"/>
    <d v="2025-02-19T00:00:00"/>
    <x v="1"/>
    <x v="0"/>
    <x v="0"/>
    <x v="0"/>
    <x v="6"/>
    <x v="3"/>
    <x v="7"/>
    <x v="1"/>
  </r>
  <r>
    <x v="1259"/>
    <x v="7"/>
    <x v="9"/>
    <x v="701"/>
    <n v="303"/>
    <x v="48"/>
    <d v="2025-02-20T00:00:00"/>
    <x v="1"/>
    <x v="4"/>
    <x v="0"/>
    <x v="0"/>
    <x v="6"/>
    <x v="1"/>
    <x v="7"/>
    <x v="1"/>
  </r>
  <r>
    <x v="1260"/>
    <x v="8"/>
    <x v="1"/>
    <x v="347"/>
    <n v="87"/>
    <x v="48"/>
    <d v="2025-02-19T00:00:00"/>
    <x v="1"/>
    <x v="4"/>
    <x v="0"/>
    <x v="0"/>
    <x v="7"/>
    <x v="3"/>
    <x v="7"/>
    <x v="1"/>
  </r>
  <r>
    <x v="1261"/>
    <x v="2"/>
    <x v="1"/>
    <x v="702"/>
    <n v="374.2"/>
    <x v="48"/>
    <d v="2025-02-19T00:00:00"/>
    <x v="1"/>
    <x v="1"/>
    <x v="2"/>
    <x v="0"/>
    <x v="8"/>
    <x v="3"/>
    <x v="7"/>
    <x v="1"/>
  </r>
  <r>
    <x v="1262"/>
    <x v="9"/>
    <x v="2"/>
    <x v="34"/>
    <n v="96"/>
    <x v="48"/>
    <d v="2025-02-20T00:00:00"/>
    <x v="1"/>
    <x v="0"/>
    <x v="0"/>
    <x v="0"/>
    <x v="8"/>
    <x v="1"/>
    <x v="7"/>
    <x v="1"/>
  </r>
  <r>
    <x v="1263"/>
    <x v="9"/>
    <x v="1"/>
    <x v="703"/>
    <n v="221.6"/>
    <x v="48"/>
    <d v="2025-02-18T00:00:00"/>
    <x v="1"/>
    <x v="0"/>
    <x v="2"/>
    <x v="0"/>
    <x v="8"/>
    <x v="7"/>
    <x v="7"/>
    <x v="1"/>
  </r>
  <r>
    <x v="1264"/>
    <x v="10"/>
    <x v="15"/>
    <x v="160"/>
    <n v="469.3"/>
    <x v="48"/>
    <d v="2025-02-21T00:00:00"/>
    <x v="2"/>
    <x v="0"/>
    <x v="1"/>
    <x v="0"/>
    <x v="8"/>
    <x v="2"/>
    <x v="7"/>
    <x v="2"/>
  </r>
  <r>
    <x v="1265"/>
    <x v="0"/>
    <x v="0"/>
    <x v="661"/>
    <n v="24.1"/>
    <x v="48"/>
    <d v="2025-02-20T00:00:00"/>
    <x v="2"/>
    <x v="4"/>
    <x v="2"/>
    <x v="0"/>
    <x v="8"/>
    <x v="1"/>
    <x v="7"/>
    <x v="2"/>
  </r>
  <r>
    <x v="1266"/>
    <x v="19"/>
    <x v="2"/>
    <x v="162"/>
    <n v="91.5"/>
    <x v="48"/>
    <d v="2025-02-20T00:00:00"/>
    <x v="1"/>
    <x v="1"/>
    <x v="0"/>
    <x v="0"/>
    <x v="8"/>
    <x v="1"/>
    <x v="7"/>
    <x v="1"/>
  </r>
  <r>
    <x v="1267"/>
    <x v="18"/>
    <x v="13"/>
    <x v="704"/>
    <n v="409.79999999999995"/>
    <x v="48"/>
    <d v="2025-02-21T00:00:00"/>
    <x v="1"/>
    <x v="0"/>
    <x v="0"/>
    <x v="0"/>
    <x v="8"/>
    <x v="2"/>
    <x v="7"/>
    <x v="1"/>
  </r>
  <r>
    <x v="1268"/>
    <x v="7"/>
    <x v="2"/>
    <x v="705"/>
    <n v="129.89999999999998"/>
    <x v="48"/>
    <d v="2025-02-22T00:00:00"/>
    <x v="2"/>
    <x v="0"/>
    <x v="0"/>
    <x v="0"/>
    <x v="17"/>
    <x v="5"/>
    <x v="7"/>
    <x v="2"/>
  </r>
  <r>
    <x v="1269"/>
    <x v="3"/>
    <x v="0"/>
    <x v="435"/>
    <n v="101.7"/>
    <x v="48"/>
    <d v="2025-02-21T00:00:00"/>
    <x v="2"/>
    <x v="0"/>
    <x v="1"/>
    <x v="0"/>
    <x v="17"/>
    <x v="2"/>
    <x v="7"/>
    <x v="2"/>
  </r>
  <r>
    <x v="1270"/>
    <x v="11"/>
    <x v="1"/>
    <x v="706"/>
    <n v="108.4"/>
    <x v="48"/>
    <d v="2025-02-19T00:00:00"/>
    <x v="2"/>
    <x v="0"/>
    <x v="1"/>
    <x v="0"/>
    <x v="17"/>
    <x v="3"/>
    <x v="7"/>
    <x v="2"/>
  </r>
  <r>
    <x v="1271"/>
    <x v="16"/>
    <x v="1"/>
    <x v="707"/>
    <n v="102"/>
    <x v="48"/>
    <d v="2025-02-18T00:00:00"/>
    <x v="1"/>
    <x v="1"/>
    <x v="0"/>
    <x v="0"/>
    <x v="26"/>
    <x v="7"/>
    <x v="7"/>
    <x v="1"/>
  </r>
  <r>
    <x v="1272"/>
    <x v="4"/>
    <x v="1"/>
    <x v="59"/>
    <n v="46.2"/>
    <x v="48"/>
    <d v="2025-02-21T00:00:00"/>
    <x v="1"/>
    <x v="1"/>
    <x v="0"/>
    <x v="0"/>
    <x v="10"/>
    <x v="2"/>
    <x v="7"/>
    <x v="1"/>
  </r>
  <r>
    <x v="1273"/>
    <x v="12"/>
    <x v="13"/>
    <x v="110"/>
    <n v="360.6"/>
    <x v="48"/>
    <d v="2025-02-18T00:00:00"/>
    <x v="2"/>
    <x v="3"/>
    <x v="0"/>
    <x v="0"/>
    <x v="11"/>
    <x v="7"/>
    <x v="7"/>
    <x v="2"/>
  </r>
  <r>
    <x v="1274"/>
    <x v="2"/>
    <x v="3"/>
    <x v="241"/>
    <n v="612.5"/>
    <x v="48"/>
    <d v="2025-02-20T00:00:00"/>
    <x v="2"/>
    <x v="0"/>
    <x v="1"/>
    <x v="0"/>
    <x v="11"/>
    <x v="1"/>
    <x v="7"/>
    <x v="2"/>
  </r>
  <r>
    <x v="1275"/>
    <x v="1"/>
    <x v="2"/>
    <x v="707"/>
    <n v="153"/>
    <x v="48"/>
    <d v="2025-02-19T00:00:00"/>
    <x v="2"/>
    <x v="1"/>
    <x v="0"/>
    <x v="0"/>
    <x v="11"/>
    <x v="3"/>
    <x v="7"/>
    <x v="2"/>
  </r>
  <r>
    <x v="1276"/>
    <x v="8"/>
    <x v="12"/>
    <x v="359"/>
    <n v="76.8"/>
    <x v="48"/>
    <d v="2025-02-20T00:00:00"/>
    <x v="2"/>
    <x v="0"/>
    <x v="0"/>
    <x v="0"/>
    <x v="11"/>
    <x v="1"/>
    <x v="7"/>
    <x v="2"/>
  </r>
  <r>
    <x v="1277"/>
    <x v="5"/>
    <x v="8"/>
    <x v="38"/>
    <n v="212"/>
    <x v="48"/>
    <d v="2025-02-19T00:00:00"/>
    <x v="0"/>
    <x v="3"/>
    <x v="2"/>
    <x v="0"/>
    <x v="11"/>
    <x v="3"/>
    <x v="7"/>
    <x v="0"/>
  </r>
  <r>
    <x v="1278"/>
    <x v="2"/>
    <x v="1"/>
    <x v="708"/>
    <n v="440.6"/>
    <x v="48"/>
    <d v="2025-02-19T00:00:00"/>
    <x v="2"/>
    <x v="1"/>
    <x v="4"/>
    <x v="0"/>
    <x v="53"/>
    <x v="3"/>
    <x v="7"/>
    <x v="2"/>
  </r>
  <r>
    <x v="1279"/>
    <x v="8"/>
    <x v="2"/>
    <x v="108"/>
    <n v="137.10000000000002"/>
    <x v="48"/>
    <d v="2025-02-19T00:00:00"/>
    <x v="2"/>
    <x v="4"/>
    <x v="0"/>
    <x v="0"/>
    <x v="30"/>
    <x v="3"/>
    <x v="7"/>
    <x v="2"/>
  </r>
  <r>
    <x v="1280"/>
    <x v="5"/>
    <x v="9"/>
    <x v="344"/>
    <n v="235.5"/>
    <x v="48"/>
    <d v="2025-02-22T00:00:00"/>
    <x v="2"/>
    <x v="3"/>
    <x v="0"/>
    <x v="0"/>
    <x v="13"/>
    <x v="5"/>
    <x v="7"/>
    <x v="2"/>
  </r>
  <r>
    <x v="1281"/>
    <x v="1"/>
    <x v="9"/>
    <x v="521"/>
    <n v="408.5"/>
    <x v="48"/>
    <d v="2025-02-19T00:00:00"/>
    <x v="2"/>
    <x v="0"/>
    <x v="2"/>
    <x v="0"/>
    <x v="21"/>
    <x v="3"/>
    <x v="7"/>
    <x v="2"/>
  </r>
  <r>
    <x v="1282"/>
    <x v="6"/>
    <x v="7"/>
    <x v="709"/>
    <n v="978"/>
    <x v="48"/>
    <d v="2025-02-18T00:00:00"/>
    <x v="1"/>
    <x v="1"/>
    <x v="1"/>
    <x v="0"/>
    <x v="21"/>
    <x v="7"/>
    <x v="7"/>
    <x v="1"/>
  </r>
  <r>
    <x v="1283"/>
    <x v="6"/>
    <x v="2"/>
    <x v="394"/>
    <n v="127.19999999999999"/>
    <x v="48"/>
    <d v="2025-02-19T00:00:00"/>
    <x v="2"/>
    <x v="0"/>
    <x v="2"/>
    <x v="0"/>
    <x v="54"/>
    <x v="3"/>
    <x v="7"/>
    <x v="2"/>
  </r>
  <r>
    <x v="1284"/>
    <x v="2"/>
    <x v="7"/>
    <x v="417"/>
    <n v="745"/>
    <x v="48"/>
    <d v="2025-02-19T00:00:00"/>
    <x v="1"/>
    <x v="2"/>
    <x v="1"/>
    <x v="0"/>
    <x v="1"/>
    <x v="3"/>
    <x v="7"/>
    <x v="1"/>
  </r>
  <r>
    <x v="1285"/>
    <x v="17"/>
    <x v="13"/>
    <x v="68"/>
    <n v="284.39999999999998"/>
    <x v="48"/>
    <d v="2025-02-19T00:00:00"/>
    <x v="1"/>
    <x v="1"/>
    <x v="0"/>
    <x v="0"/>
    <x v="1"/>
    <x v="3"/>
    <x v="7"/>
    <x v="1"/>
  </r>
  <r>
    <x v="1286"/>
    <x v="14"/>
    <x v="2"/>
    <x v="161"/>
    <n v="51.900000000000006"/>
    <x v="49"/>
    <d v="2025-02-22T00:00:00"/>
    <x v="1"/>
    <x v="2"/>
    <x v="2"/>
    <x v="0"/>
    <x v="1"/>
    <x v="2"/>
    <x v="7"/>
    <x v="1"/>
  </r>
  <r>
    <x v="1287"/>
    <x v="12"/>
    <x v="12"/>
    <x v="710"/>
    <n v="311.60000000000002"/>
    <x v="49"/>
    <d v="2025-02-20T00:00:00"/>
    <x v="1"/>
    <x v="1"/>
    <x v="0"/>
    <x v="0"/>
    <x v="2"/>
    <x v="3"/>
    <x v="7"/>
    <x v="1"/>
  </r>
  <r>
    <x v="1288"/>
    <x v="8"/>
    <x v="0"/>
    <x v="581"/>
    <n v="29.1"/>
    <x v="49"/>
    <d v="2025-02-22T00:00:00"/>
    <x v="1"/>
    <x v="0"/>
    <x v="2"/>
    <x v="0"/>
    <x v="50"/>
    <x v="2"/>
    <x v="7"/>
    <x v="1"/>
  </r>
  <r>
    <x v="1289"/>
    <x v="8"/>
    <x v="0"/>
    <x v="11"/>
    <n v="49"/>
    <x v="49"/>
    <d v="2025-02-20T00:00:00"/>
    <x v="1"/>
    <x v="1"/>
    <x v="0"/>
    <x v="0"/>
    <x v="3"/>
    <x v="3"/>
    <x v="7"/>
    <x v="1"/>
  </r>
  <r>
    <x v="1290"/>
    <x v="8"/>
    <x v="13"/>
    <x v="438"/>
    <n v="126.60000000000001"/>
    <x v="49"/>
    <d v="2025-02-26T00:00:00"/>
    <x v="1"/>
    <x v="0"/>
    <x v="2"/>
    <x v="0"/>
    <x v="3"/>
    <x v="6"/>
    <x v="7"/>
    <x v="1"/>
  </r>
  <r>
    <x v="1291"/>
    <x v="4"/>
    <x v="10"/>
    <x v="711"/>
    <n v="701.1"/>
    <x v="49"/>
    <d v="2025-02-19T00:00:00"/>
    <x v="2"/>
    <x v="0"/>
    <x v="0"/>
    <x v="0"/>
    <x v="3"/>
    <x v="7"/>
    <x v="7"/>
    <x v="2"/>
  </r>
  <r>
    <x v="1292"/>
    <x v="1"/>
    <x v="7"/>
    <x v="109"/>
    <n v="926"/>
    <x v="49"/>
    <d v="2025-02-24T00:00:00"/>
    <x v="1"/>
    <x v="4"/>
    <x v="2"/>
    <x v="0"/>
    <x v="3"/>
    <x v="0"/>
    <x v="7"/>
    <x v="1"/>
  </r>
  <r>
    <x v="1293"/>
    <x v="10"/>
    <x v="1"/>
    <x v="545"/>
    <n v="76"/>
    <x v="49"/>
    <d v="2025-02-20T00:00:00"/>
    <x v="1"/>
    <x v="1"/>
    <x v="1"/>
    <x v="0"/>
    <x v="3"/>
    <x v="3"/>
    <x v="7"/>
    <x v="1"/>
  </r>
  <r>
    <x v="1294"/>
    <x v="5"/>
    <x v="2"/>
    <x v="76"/>
    <n v="164.39999999999998"/>
    <x v="49"/>
    <d v="2025-02-23T00:00:00"/>
    <x v="0"/>
    <x v="0"/>
    <x v="1"/>
    <x v="0"/>
    <x v="3"/>
    <x v="5"/>
    <x v="7"/>
    <x v="0"/>
  </r>
  <r>
    <x v="1295"/>
    <x v="10"/>
    <x v="4"/>
    <x v="382"/>
    <n v="681.59999999999991"/>
    <x v="49"/>
    <d v="2025-02-21T00:00:00"/>
    <x v="1"/>
    <x v="1"/>
    <x v="0"/>
    <x v="0"/>
    <x v="3"/>
    <x v="1"/>
    <x v="7"/>
    <x v="1"/>
  </r>
  <r>
    <x v="1296"/>
    <x v="11"/>
    <x v="40"/>
    <x v="550"/>
    <n v="1557.6000000000001"/>
    <x v="49"/>
    <d v="2025-02-22T00:00:00"/>
    <x v="2"/>
    <x v="1"/>
    <x v="0"/>
    <x v="0"/>
    <x v="3"/>
    <x v="2"/>
    <x v="7"/>
    <x v="2"/>
  </r>
  <r>
    <x v="1297"/>
    <x v="7"/>
    <x v="13"/>
    <x v="226"/>
    <n v="270.60000000000002"/>
    <x v="49"/>
    <d v="2025-02-20T00:00:00"/>
    <x v="2"/>
    <x v="2"/>
    <x v="0"/>
    <x v="0"/>
    <x v="43"/>
    <x v="3"/>
    <x v="7"/>
    <x v="2"/>
  </r>
  <r>
    <x v="1298"/>
    <x v="4"/>
    <x v="4"/>
    <x v="19"/>
    <n v="302.39999999999998"/>
    <x v="49"/>
    <d v="2025-02-24T00:00:00"/>
    <x v="2"/>
    <x v="2"/>
    <x v="0"/>
    <x v="0"/>
    <x v="16"/>
    <x v="0"/>
    <x v="7"/>
    <x v="2"/>
  </r>
  <r>
    <x v="1299"/>
    <x v="8"/>
    <x v="0"/>
    <x v="595"/>
    <n v="22"/>
    <x v="49"/>
    <d v="2025-02-20T00:00:00"/>
    <x v="2"/>
    <x v="0"/>
    <x v="0"/>
    <x v="0"/>
    <x v="5"/>
    <x v="3"/>
    <x v="7"/>
    <x v="2"/>
  </r>
  <r>
    <x v="1300"/>
    <x v="6"/>
    <x v="1"/>
    <x v="567"/>
    <n v="84.4"/>
    <x v="49"/>
    <d v="2025-02-20T00:00:00"/>
    <x v="2"/>
    <x v="1"/>
    <x v="1"/>
    <x v="0"/>
    <x v="23"/>
    <x v="3"/>
    <x v="7"/>
    <x v="2"/>
  </r>
  <r>
    <x v="1301"/>
    <x v="13"/>
    <x v="2"/>
    <x v="580"/>
    <n v="61.5"/>
    <x v="49"/>
    <d v="2025-02-20T00:00:00"/>
    <x v="1"/>
    <x v="0"/>
    <x v="1"/>
    <x v="0"/>
    <x v="6"/>
    <x v="3"/>
    <x v="7"/>
    <x v="1"/>
  </r>
  <r>
    <x v="1302"/>
    <x v="2"/>
    <x v="0"/>
    <x v="712"/>
    <n v="190.4"/>
    <x v="49"/>
    <d v="2025-02-24T00:00:00"/>
    <x v="1"/>
    <x v="1"/>
    <x v="4"/>
    <x v="0"/>
    <x v="6"/>
    <x v="0"/>
    <x v="7"/>
    <x v="1"/>
  </r>
  <r>
    <x v="1303"/>
    <x v="2"/>
    <x v="0"/>
    <x v="713"/>
    <n v="121.9"/>
    <x v="49"/>
    <d v="2025-02-21T00:00:00"/>
    <x v="2"/>
    <x v="1"/>
    <x v="2"/>
    <x v="0"/>
    <x v="6"/>
    <x v="1"/>
    <x v="7"/>
    <x v="2"/>
  </r>
  <r>
    <x v="1304"/>
    <x v="2"/>
    <x v="13"/>
    <x v="714"/>
    <n v="895.19999999999993"/>
    <x v="49"/>
    <d v="2025-02-20T00:00:00"/>
    <x v="2"/>
    <x v="2"/>
    <x v="2"/>
    <x v="0"/>
    <x v="7"/>
    <x v="3"/>
    <x v="7"/>
    <x v="2"/>
  </r>
  <r>
    <x v="1305"/>
    <x v="2"/>
    <x v="0"/>
    <x v="715"/>
    <n v="54.1"/>
    <x v="49"/>
    <d v="2025-02-28T00:00:00"/>
    <x v="2"/>
    <x v="2"/>
    <x v="2"/>
    <x v="0"/>
    <x v="7"/>
    <x v="8"/>
    <x v="7"/>
    <x v="2"/>
  </r>
  <r>
    <x v="1306"/>
    <x v="5"/>
    <x v="1"/>
    <x v="336"/>
    <n v="54.8"/>
    <x v="49"/>
    <d v="2025-02-21T00:00:00"/>
    <x v="1"/>
    <x v="1"/>
    <x v="0"/>
    <x v="0"/>
    <x v="8"/>
    <x v="1"/>
    <x v="7"/>
    <x v="1"/>
  </r>
  <r>
    <x v="1307"/>
    <x v="0"/>
    <x v="15"/>
    <x v="248"/>
    <n v="395.2"/>
    <x v="49"/>
    <d v="2025-02-20T00:00:00"/>
    <x v="2"/>
    <x v="0"/>
    <x v="2"/>
    <x v="0"/>
    <x v="8"/>
    <x v="3"/>
    <x v="7"/>
    <x v="2"/>
  </r>
  <r>
    <x v="1308"/>
    <x v="12"/>
    <x v="2"/>
    <x v="193"/>
    <n v="138.60000000000002"/>
    <x v="49"/>
    <d v="2025-02-21T00:00:00"/>
    <x v="1"/>
    <x v="2"/>
    <x v="1"/>
    <x v="0"/>
    <x v="17"/>
    <x v="1"/>
    <x v="7"/>
    <x v="1"/>
  </r>
  <r>
    <x v="1309"/>
    <x v="7"/>
    <x v="8"/>
    <x v="716"/>
    <n v="628.79999999999995"/>
    <x v="49"/>
    <d v="2025-02-23T00:00:00"/>
    <x v="1"/>
    <x v="3"/>
    <x v="0"/>
    <x v="0"/>
    <x v="17"/>
    <x v="5"/>
    <x v="7"/>
    <x v="1"/>
  </r>
  <r>
    <x v="1310"/>
    <x v="17"/>
    <x v="7"/>
    <x v="122"/>
    <n v="259"/>
    <x v="49"/>
    <d v="2025-02-25T00:00:00"/>
    <x v="1"/>
    <x v="4"/>
    <x v="0"/>
    <x v="0"/>
    <x v="9"/>
    <x v="4"/>
    <x v="7"/>
    <x v="1"/>
  </r>
  <r>
    <x v="1311"/>
    <x v="6"/>
    <x v="0"/>
    <x v="717"/>
    <n v="134.80000000000001"/>
    <x v="49"/>
    <d v="2025-02-21T00:00:00"/>
    <x v="1"/>
    <x v="2"/>
    <x v="2"/>
    <x v="0"/>
    <x v="9"/>
    <x v="1"/>
    <x v="7"/>
    <x v="1"/>
  </r>
  <r>
    <x v="1312"/>
    <x v="15"/>
    <x v="9"/>
    <x v="39"/>
    <n v="215.5"/>
    <x v="49"/>
    <d v="2025-02-21T00:00:00"/>
    <x v="2"/>
    <x v="0"/>
    <x v="0"/>
    <x v="0"/>
    <x v="11"/>
    <x v="1"/>
    <x v="7"/>
    <x v="2"/>
  </r>
  <r>
    <x v="1313"/>
    <x v="2"/>
    <x v="1"/>
    <x v="718"/>
    <n v="431.2"/>
    <x v="49"/>
    <d v="2025-02-20T00:00:00"/>
    <x v="2"/>
    <x v="2"/>
    <x v="0"/>
    <x v="0"/>
    <x v="18"/>
    <x v="3"/>
    <x v="7"/>
    <x v="2"/>
  </r>
  <r>
    <x v="1314"/>
    <x v="6"/>
    <x v="1"/>
    <x v="41"/>
    <n v="161.4"/>
    <x v="49"/>
    <d v="2025-02-22T00:00:00"/>
    <x v="2"/>
    <x v="3"/>
    <x v="0"/>
    <x v="0"/>
    <x v="18"/>
    <x v="2"/>
    <x v="7"/>
    <x v="2"/>
  </r>
  <r>
    <x v="1315"/>
    <x v="10"/>
    <x v="3"/>
    <x v="468"/>
    <n v="144.20000000000002"/>
    <x v="49"/>
    <d v="2025-02-24T00:00:00"/>
    <x v="0"/>
    <x v="2"/>
    <x v="1"/>
    <x v="0"/>
    <x v="19"/>
    <x v="0"/>
    <x v="7"/>
    <x v="0"/>
  </r>
  <r>
    <x v="1316"/>
    <x v="12"/>
    <x v="2"/>
    <x v="719"/>
    <n v="111.30000000000001"/>
    <x v="49"/>
    <d v="2025-02-20T00:00:00"/>
    <x v="2"/>
    <x v="0"/>
    <x v="0"/>
    <x v="0"/>
    <x v="52"/>
    <x v="3"/>
    <x v="7"/>
    <x v="2"/>
  </r>
  <r>
    <x v="1317"/>
    <x v="12"/>
    <x v="0"/>
    <x v="720"/>
    <n v="104.8"/>
    <x v="50"/>
    <d v="2025-02-22T00:00:00"/>
    <x v="2"/>
    <x v="0"/>
    <x v="0"/>
    <x v="0"/>
    <x v="13"/>
    <x v="1"/>
    <x v="7"/>
    <x v="2"/>
  </r>
  <r>
    <x v="1318"/>
    <x v="8"/>
    <x v="1"/>
    <x v="721"/>
    <n v="118"/>
    <x v="50"/>
    <d v="2025-02-21T00:00:00"/>
    <x v="1"/>
    <x v="1"/>
    <x v="0"/>
    <x v="0"/>
    <x v="21"/>
    <x v="3"/>
    <x v="7"/>
    <x v="1"/>
  </r>
  <r>
    <x v="1319"/>
    <x v="8"/>
    <x v="1"/>
    <x v="240"/>
    <n v="64.599999999999994"/>
    <x v="50"/>
    <d v="2025-02-21T00:00:00"/>
    <x v="1"/>
    <x v="0"/>
    <x v="2"/>
    <x v="0"/>
    <x v="21"/>
    <x v="3"/>
    <x v="7"/>
    <x v="1"/>
  </r>
  <r>
    <x v="1320"/>
    <x v="8"/>
    <x v="12"/>
    <x v="538"/>
    <n v="115.6"/>
    <x v="50"/>
    <d v="2025-02-27T00:00:00"/>
    <x v="1"/>
    <x v="0"/>
    <x v="0"/>
    <x v="0"/>
    <x v="1"/>
    <x v="6"/>
    <x v="7"/>
    <x v="1"/>
  </r>
  <r>
    <x v="1321"/>
    <x v="0"/>
    <x v="1"/>
    <x v="686"/>
    <n v="59.2"/>
    <x v="50"/>
    <d v="2025-02-22T00:00:00"/>
    <x v="1"/>
    <x v="0"/>
    <x v="0"/>
    <x v="0"/>
    <x v="1"/>
    <x v="1"/>
    <x v="7"/>
    <x v="1"/>
  </r>
  <r>
    <x v="1322"/>
    <x v="0"/>
    <x v="9"/>
    <x v="647"/>
    <n v="147"/>
    <x v="50"/>
    <d v="2025-02-23T00:00:00"/>
    <x v="2"/>
    <x v="0"/>
    <x v="0"/>
    <x v="0"/>
    <x v="1"/>
    <x v="2"/>
    <x v="7"/>
    <x v="2"/>
  </r>
  <r>
    <x v="1323"/>
    <x v="1"/>
    <x v="1"/>
    <x v="722"/>
    <n v="81.2"/>
    <x v="50"/>
    <d v="2025-02-21T00:00:00"/>
    <x v="1"/>
    <x v="0"/>
    <x v="4"/>
    <x v="0"/>
    <x v="2"/>
    <x v="3"/>
    <x v="7"/>
    <x v="1"/>
  </r>
  <r>
    <x v="1324"/>
    <x v="0"/>
    <x v="2"/>
    <x v="504"/>
    <n v="97.5"/>
    <x v="50"/>
    <d v="2025-02-21T00:00:00"/>
    <x v="1"/>
    <x v="3"/>
    <x v="2"/>
    <x v="0"/>
    <x v="22"/>
    <x v="3"/>
    <x v="7"/>
    <x v="1"/>
  </r>
  <r>
    <x v="1325"/>
    <x v="15"/>
    <x v="0"/>
    <x v="457"/>
    <n v="26.2"/>
    <x v="50"/>
    <d v="2025-02-22T00:00:00"/>
    <x v="1"/>
    <x v="2"/>
    <x v="0"/>
    <x v="0"/>
    <x v="55"/>
    <x v="1"/>
    <x v="7"/>
    <x v="1"/>
  </r>
  <r>
    <x v="1326"/>
    <x v="10"/>
    <x v="17"/>
    <x v="548"/>
    <n v="1320"/>
    <x v="50"/>
    <d v="2025-02-26T00:00:00"/>
    <x v="1"/>
    <x v="4"/>
    <x v="0"/>
    <x v="0"/>
    <x v="3"/>
    <x v="4"/>
    <x v="7"/>
    <x v="1"/>
  </r>
  <r>
    <x v="1327"/>
    <x v="7"/>
    <x v="12"/>
    <x v="404"/>
    <n v="262.39999999999998"/>
    <x v="50"/>
    <d v="2025-02-21T00:00:00"/>
    <x v="2"/>
    <x v="1"/>
    <x v="1"/>
    <x v="0"/>
    <x v="3"/>
    <x v="3"/>
    <x v="7"/>
    <x v="2"/>
  </r>
  <r>
    <x v="1328"/>
    <x v="5"/>
    <x v="4"/>
    <x v="101"/>
    <n v="391.20000000000005"/>
    <x v="50"/>
    <d v="2025-02-21T00:00:00"/>
    <x v="1"/>
    <x v="4"/>
    <x v="0"/>
    <x v="0"/>
    <x v="3"/>
    <x v="3"/>
    <x v="7"/>
    <x v="1"/>
  </r>
  <r>
    <x v="1329"/>
    <x v="16"/>
    <x v="1"/>
    <x v="723"/>
    <n v="177.4"/>
    <x v="50"/>
    <d v="2025-02-21T00:00:00"/>
    <x v="0"/>
    <x v="3"/>
    <x v="2"/>
    <x v="0"/>
    <x v="3"/>
    <x v="3"/>
    <x v="7"/>
    <x v="0"/>
  </r>
  <r>
    <x v="1330"/>
    <x v="4"/>
    <x v="1"/>
    <x v="210"/>
    <n v="42.6"/>
    <x v="50"/>
    <d v="2025-02-21T00:00:00"/>
    <x v="1"/>
    <x v="0"/>
    <x v="0"/>
    <x v="0"/>
    <x v="3"/>
    <x v="3"/>
    <x v="7"/>
    <x v="1"/>
  </r>
  <r>
    <x v="1331"/>
    <x v="4"/>
    <x v="13"/>
    <x v="79"/>
    <n v="303.60000000000002"/>
    <x v="50"/>
    <d v="2025-02-24T00:00:00"/>
    <x v="2"/>
    <x v="2"/>
    <x v="0"/>
    <x v="0"/>
    <x v="3"/>
    <x v="5"/>
    <x v="7"/>
    <x v="2"/>
  </r>
  <r>
    <x v="1332"/>
    <x v="9"/>
    <x v="38"/>
    <x v="724"/>
    <n v="1824.9"/>
    <x v="50"/>
    <d v="2025-02-23T00:00:00"/>
    <x v="2"/>
    <x v="0"/>
    <x v="1"/>
    <x v="0"/>
    <x v="3"/>
    <x v="2"/>
    <x v="7"/>
    <x v="2"/>
  </r>
  <r>
    <x v="1333"/>
    <x v="11"/>
    <x v="2"/>
    <x v="216"/>
    <n v="95.4"/>
    <x v="50"/>
    <d v="2025-02-22T00:00:00"/>
    <x v="1"/>
    <x v="0"/>
    <x v="2"/>
    <x v="0"/>
    <x v="3"/>
    <x v="1"/>
    <x v="7"/>
    <x v="1"/>
  </r>
  <r>
    <x v="1334"/>
    <x v="8"/>
    <x v="0"/>
    <x v="129"/>
    <n v="19"/>
    <x v="50"/>
    <d v="2025-02-21T00:00:00"/>
    <x v="2"/>
    <x v="0"/>
    <x v="2"/>
    <x v="0"/>
    <x v="3"/>
    <x v="3"/>
    <x v="7"/>
    <x v="2"/>
  </r>
  <r>
    <x v="1335"/>
    <x v="5"/>
    <x v="0"/>
    <x v="42"/>
    <n v="54.5"/>
    <x v="50"/>
    <d v="2025-02-22T00:00:00"/>
    <x v="1"/>
    <x v="0"/>
    <x v="0"/>
    <x v="0"/>
    <x v="3"/>
    <x v="1"/>
    <x v="7"/>
    <x v="1"/>
  </r>
  <r>
    <x v="1336"/>
    <x v="9"/>
    <x v="9"/>
    <x v="725"/>
    <n v="344.5"/>
    <x v="50"/>
    <d v="2025-02-22T00:00:00"/>
    <x v="1"/>
    <x v="4"/>
    <x v="1"/>
    <x v="0"/>
    <x v="3"/>
    <x v="1"/>
    <x v="7"/>
    <x v="1"/>
  </r>
  <r>
    <x v="1337"/>
    <x v="6"/>
    <x v="2"/>
    <x v="726"/>
    <n v="252"/>
    <x v="50"/>
    <d v="2025-02-21T00:00:00"/>
    <x v="1"/>
    <x v="1"/>
    <x v="4"/>
    <x v="0"/>
    <x v="16"/>
    <x v="3"/>
    <x v="7"/>
    <x v="1"/>
  </r>
  <r>
    <x v="1338"/>
    <x v="15"/>
    <x v="8"/>
    <x v="59"/>
    <n v="184.8"/>
    <x v="50"/>
    <d v="2025-02-25T00:00:00"/>
    <x v="1"/>
    <x v="0"/>
    <x v="2"/>
    <x v="0"/>
    <x v="23"/>
    <x v="0"/>
    <x v="7"/>
    <x v="1"/>
  </r>
  <r>
    <x v="1339"/>
    <x v="7"/>
    <x v="1"/>
    <x v="470"/>
    <n v="124.8"/>
    <x v="50"/>
    <d v="2025-02-21T00:00:00"/>
    <x v="2"/>
    <x v="0"/>
    <x v="1"/>
    <x v="0"/>
    <x v="6"/>
    <x v="3"/>
    <x v="7"/>
    <x v="2"/>
  </r>
  <r>
    <x v="1340"/>
    <x v="6"/>
    <x v="4"/>
    <x v="253"/>
    <n v="488.40000000000003"/>
    <x v="50"/>
    <d v="2025-02-22T00:00:00"/>
    <x v="1"/>
    <x v="1"/>
    <x v="2"/>
    <x v="0"/>
    <x v="6"/>
    <x v="1"/>
    <x v="7"/>
    <x v="1"/>
  </r>
  <r>
    <x v="1341"/>
    <x v="6"/>
    <x v="0"/>
    <x v="659"/>
    <n v="49.6"/>
    <x v="50"/>
    <d v="2025-02-23T00:00:00"/>
    <x v="1"/>
    <x v="2"/>
    <x v="0"/>
    <x v="0"/>
    <x v="7"/>
    <x v="2"/>
    <x v="7"/>
    <x v="1"/>
  </r>
  <r>
    <x v="1342"/>
    <x v="7"/>
    <x v="41"/>
    <x v="450"/>
    <n v="2996.9999999999995"/>
    <x v="50"/>
    <d v="2025-02-23T00:00:00"/>
    <x v="1"/>
    <x v="2"/>
    <x v="0"/>
    <x v="0"/>
    <x v="8"/>
    <x v="2"/>
    <x v="7"/>
    <x v="1"/>
  </r>
  <r>
    <x v="1343"/>
    <x v="8"/>
    <x v="2"/>
    <x v="23"/>
    <n v="79.199999999999989"/>
    <x v="50"/>
    <d v="2025-02-21T00:00:00"/>
    <x v="2"/>
    <x v="1"/>
    <x v="1"/>
    <x v="0"/>
    <x v="8"/>
    <x v="3"/>
    <x v="7"/>
    <x v="2"/>
  </r>
  <r>
    <x v="1344"/>
    <x v="0"/>
    <x v="1"/>
    <x v="727"/>
    <n v="34.4"/>
    <x v="50"/>
    <d v="2025-02-23T00:00:00"/>
    <x v="1"/>
    <x v="2"/>
    <x v="1"/>
    <x v="0"/>
    <x v="8"/>
    <x v="2"/>
    <x v="7"/>
    <x v="1"/>
  </r>
  <r>
    <x v="1345"/>
    <x v="5"/>
    <x v="8"/>
    <x v="215"/>
    <n v="464.8"/>
    <x v="50"/>
    <d v="2025-02-23T00:00:00"/>
    <x v="2"/>
    <x v="4"/>
    <x v="0"/>
    <x v="0"/>
    <x v="8"/>
    <x v="2"/>
    <x v="7"/>
    <x v="2"/>
  </r>
  <r>
    <x v="1346"/>
    <x v="15"/>
    <x v="12"/>
    <x v="217"/>
    <n v="126"/>
    <x v="50"/>
    <d v="2025-02-23T00:00:00"/>
    <x v="2"/>
    <x v="4"/>
    <x v="4"/>
    <x v="0"/>
    <x v="8"/>
    <x v="2"/>
    <x v="7"/>
    <x v="2"/>
  </r>
  <r>
    <x v="1347"/>
    <x v="0"/>
    <x v="0"/>
    <x v="399"/>
    <n v="27.1"/>
    <x v="50"/>
    <d v="2025-02-22T00:00:00"/>
    <x v="2"/>
    <x v="0"/>
    <x v="1"/>
    <x v="0"/>
    <x v="17"/>
    <x v="1"/>
    <x v="7"/>
    <x v="2"/>
  </r>
  <r>
    <x v="1348"/>
    <x v="18"/>
    <x v="12"/>
    <x v="365"/>
    <n v="114"/>
    <x v="50"/>
    <d v="2025-02-22T00:00:00"/>
    <x v="1"/>
    <x v="1"/>
    <x v="2"/>
    <x v="0"/>
    <x v="9"/>
    <x v="1"/>
    <x v="7"/>
    <x v="1"/>
  </r>
  <r>
    <x v="1349"/>
    <x v="10"/>
    <x v="0"/>
    <x v="145"/>
    <n v="40.5"/>
    <x v="51"/>
    <d v="2025-02-23T00:00:00"/>
    <x v="3"/>
    <x v="2"/>
    <x v="0"/>
    <x v="0"/>
    <x v="9"/>
    <x v="1"/>
    <x v="7"/>
    <x v="3"/>
  </r>
  <r>
    <x v="1350"/>
    <x v="2"/>
    <x v="2"/>
    <x v="710"/>
    <n v="233.70000000000002"/>
    <x v="51"/>
    <d v="2025-02-25T00:00:00"/>
    <x v="2"/>
    <x v="1"/>
    <x v="2"/>
    <x v="0"/>
    <x v="19"/>
    <x v="5"/>
    <x v="7"/>
    <x v="2"/>
  </r>
  <r>
    <x v="1351"/>
    <x v="18"/>
    <x v="12"/>
    <x v="719"/>
    <n v="148.4"/>
    <x v="51"/>
    <d v="2025-02-23T00:00:00"/>
    <x v="1"/>
    <x v="4"/>
    <x v="2"/>
    <x v="0"/>
    <x v="19"/>
    <x v="1"/>
    <x v="7"/>
    <x v="1"/>
  </r>
  <r>
    <x v="1352"/>
    <x v="16"/>
    <x v="2"/>
    <x v="728"/>
    <n v="154.80000000000001"/>
    <x v="51"/>
    <d v="2025-03-01T00:00:00"/>
    <x v="2"/>
    <x v="0"/>
    <x v="4"/>
    <x v="0"/>
    <x v="19"/>
    <x v="9"/>
    <x v="7"/>
    <x v="2"/>
  </r>
  <r>
    <x v="1353"/>
    <x v="7"/>
    <x v="2"/>
    <x v="729"/>
    <n v="294"/>
    <x v="51"/>
    <d v="2025-02-22T00:00:00"/>
    <x v="1"/>
    <x v="1"/>
    <x v="1"/>
    <x v="0"/>
    <x v="19"/>
    <x v="3"/>
    <x v="7"/>
    <x v="1"/>
  </r>
  <r>
    <x v="1354"/>
    <x v="6"/>
    <x v="3"/>
    <x v="50"/>
    <n v="289.8"/>
    <x v="51"/>
    <d v="2025-02-22T00:00:00"/>
    <x v="1"/>
    <x v="1"/>
    <x v="0"/>
    <x v="0"/>
    <x v="20"/>
    <x v="3"/>
    <x v="7"/>
    <x v="1"/>
  </r>
  <r>
    <x v="1355"/>
    <x v="11"/>
    <x v="8"/>
    <x v="324"/>
    <n v="272"/>
    <x v="51"/>
    <d v="2025-02-26T00:00:00"/>
    <x v="2"/>
    <x v="0"/>
    <x v="2"/>
    <x v="0"/>
    <x v="52"/>
    <x v="0"/>
    <x v="7"/>
    <x v="2"/>
  </r>
  <r>
    <x v="1356"/>
    <x v="6"/>
    <x v="0"/>
    <x v="730"/>
    <n v="66.3"/>
    <x v="51"/>
    <d v="2025-02-22T00:00:00"/>
    <x v="2"/>
    <x v="1"/>
    <x v="0"/>
    <x v="0"/>
    <x v="13"/>
    <x v="3"/>
    <x v="7"/>
    <x v="2"/>
  </r>
  <r>
    <x v="1357"/>
    <x v="7"/>
    <x v="0"/>
    <x v="232"/>
    <n v="33.5"/>
    <x v="51"/>
    <d v="2025-02-25T00:00:00"/>
    <x v="1"/>
    <x v="2"/>
    <x v="0"/>
    <x v="0"/>
    <x v="13"/>
    <x v="5"/>
    <x v="7"/>
    <x v="1"/>
  </r>
  <r>
    <x v="1358"/>
    <x v="12"/>
    <x v="1"/>
    <x v="471"/>
    <n v="141.6"/>
    <x v="51"/>
    <d v="2025-02-22T00:00:00"/>
    <x v="0"/>
    <x v="0"/>
    <x v="0"/>
    <x v="0"/>
    <x v="28"/>
    <x v="3"/>
    <x v="7"/>
    <x v="0"/>
  </r>
  <r>
    <x v="1359"/>
    <x v="6"/>
    <x v="1"/>
    <x v="731"/>
    <n v="255.2"/>
    <x v="51"/>
    <d v="2025-02-22T00:00:00"/>
    <x v="1"/>
    <x v="0"/>
    <x v="0"/>
    <x v="0"/>
    <x v="21"/>
    <x v="3"/>
    <x v="7"/>
    <x v="1"/>
  </r>
  <r>
    <x v="1360"/>
    <x v="6"/>
    <x v="2"/>
    <x v="732"/>
    <n v="287.70000000000005"/>
    <x v="51"/>
    <d v="2025-02-22T00:00:00"/>
    <x v="2"/>
    <x v="1"/>
    <x v="1"/>
    <x v="0"/>
    <x v="21"/>
    <x v="3"/>
    <x v="7"/>
    <x v="2"/>
  </r>
  <r>
    <x v="1361"/>
    <x v="2"/>
    <x v="1"/>
    <x v="505"/>
    <n v="156.19999999999999"/>
    <x v="51"/>
    <d v="2025-02-22T00:00:00"/>
    <x v="1"/>
    <x v="0"/>
    <x v="0"/>
    <x v="0"/>
    <x v="1"/>
    <x v="3"/>
    <x v="7"/>
    <x v="1"/>
  </r>
  <r>
    <x v="1362"/>
    <x v="13"/>
    <x v="1"/>
    <x v="522"/>
    <n v="86.4"/>
    <x v="51"/>
    <d v="2025-02-22T00:00:00"/>
    <x v="0"/>
    <x v="1"/>
    <x v="1"/>
    <x v="0"/>
    <x v="1"/>
    <x v="3"/>
    <x v="7"/>
    <x v="0"/>
  </r>
  <r>
    <x v="1363"/>
    <x v="8"/>
    <x v="12"/>
    <x v="70"/>
    <n v="113.6"/>
    <x v="51"/>
    <d v="2025-02-27T00:00:00"/>
    <x v="1"/>
    <x v="2"/>
    <x v="0"/>
    <x v="0"/>
    <x v="3"/>
    <x v="4"/>
    <x v="7"/>
    <x v="1"/>
  </r>
  <r>
    <x v="1364"/>
    <x v="2"/>
    <x v="1"/>
    <x v="521"/>
    <n v="163.4"/>
    <x v="51"/>
    <d v="2025-02-21T00:00:00"/>
    <x v="1"/>
    <x v="0"/>
    <x v="0"/>
    <x v="0"/>
    <x v="3"/>
    <x v="7"/>
    <x v="7"/>
    <x v="1"/>
  </r>
  <r>
    <x v="1365"/>
    <x v="18"/>
    <x v="1"/>
    <x v="4"/>
    <n v="113.4"/>
    <x v="51"/>
    <d v="2025-02-23T00:00:00"/>
    <x v="0"/>
    <x v="0"/>
    <x v="2"/>
    <x v="0"/>
    <x v="3"/>
    <x v="1"/>
    <x v="7"/>
    <x v="0"/>
  </r>
  <r>
    <x v="1366"/>
    <x v="3"/>
    <x v="12"/>
    <x v="563"/>
    <n v="266"/>
    <x v="51"/>
    <d v="2025-02-21T00:00:00"/>
    <x v="2"/>
    <x v="0"/>
    <x v="2"/>
    <x v="0"/>
    <x v="3"/>
    <x v="7"/>
    <x v="7"/>
    <x v="2"/>
  </r>
  <r>
    <x v="1367"/>
    <x v="1"/>
    <x v="1"/>
    <x v="733"/>
    <n v="210.6"/>
    <x v="51"/>
    <d v="2025-02-25T00:00:00"/>
    <x v="1"/>
    <x v="0"/>
    <x v="1"/>
    <x v="0"/>
    <x v="3"/>
    <x v="5"/>
    <x v="7"/>
    <x v="1"/>
  </r>
  <r>
    <x v="1368"/>
    <x v="10"/>
    <x v="9"/>
    <x v="601"/>
    <n v="169"/>
    <x v="51"/>
    <d v="2025-02-26T00:00:00"/>
    <x v="1"/>
    <x v="0"/>
    <x v="0"/>
    <x v="0"/>
    <x v="3"/>
    <x v="0"/>
    <x v="7"/>
    <x v="1"/>
  </r>
  <r>
    <x v="1369"/>
    <x v="6"/>
    <x v="2"/>
    <x v="734"/>
    <n v="190.2"/>
    <x v="51"/>
    <d v="2025-02-26T00:00:00"/>
    <x v="1"/>
    <x v="3"/>
    <x v="1"/>
    <x v="0"/>
    <x v="24"/>
    <x v="0"/>
    <x v="7"/>
    <x v="1"/>
  </r>
  <r>
    <x v="1370"/>
    <x v="6"/>
    <x v="2"/>
    <x v="11"/>
    <n v="147"/>
    <x v="51"/>
    <d v="2025-02-25T00:00:00"/>
    <x v="1"/>
    <x v="3"/>
    <x v="0"/>
    <x v="0"/>
    <x v="49"/>
    <x v="5"/>
    <x v="7"/>
    <x v="1"/>
  </r>
  <r>
    <x v="1371"/>
    <x v="1"/>
    <x v="1"/>
    <x v="152"/>
    <n v="80"/>
    <x v="51"/>
    <d v="2025-02-22T00:00:00"/>
    <x v="2"/>
    <x v="4"/>
    <x v="1"/>
    <x v="0"/>
    <x v="23"/>
    <x v="3"/>
    <x v="7"/>
    <x v="2"/>
  </r>
  <r>
    <x v="1372"/>
    <x v="6"/>
    <x v="12"/>
    <x v="507"/>
    <n v="345.2"/>
    <x v="51"/>
    <d v="2025-02-22T00:00:00"/>
    <x v="3"/>
    <x v="0"/>
    <x v="0"/>
    <x v="0"/>
    <x v="6"/>
    <x v="3"/>
    <x v="7"/>
    <x v="3"/>
  </r>
  <r>
    <x v="1373"/>
    <x v="6"/>
    <x v="0"/>
    <x v="728"/>
    <n v="51.6"/>
    <x v="51"/>
    <d v="2025-02-23T00:00:00"/>
    <x v="2"/>
    <x v="2"/>
    <x v="2"/>
    <x v="0"/>
    <x v="6"/>
    <x v="1"/>
    <x v="7"/>
    <x v="2"/>
  </r>
  <r>
    <x v="1374"/>
    <x v="10"/>
    <x v="2"/>
    <x v="494"/>
    <n v="80.099999999999994"/>
    <x v="51"/>
    <d v="2025-02-26T00:00:00"/>
    <x v="2"/>
    <x v="2"/>
    <x v="1"/>
    <x v="0"/>
    <x v="6"/>
    <x v="0"/>
    <x v="7"/>
    <x v="2"/>
  </r>
  <r>
    <x v="1375"/>
    <x v="18"/>
    <x v="1"/>
    <x v="735"/>
    <n v="136.19999999999999"/>
    <x v="51"/>
    <d v="2025-02-22T00:00:00"/>
    <x v="1"/>
    <x v="0"/>
    <x v="1"/>
    <x v="0"/>
    <x v="6"/>
    <x v="3"/>
    <x v="7"/>
    <x v="1"/>
  </r>
  <r>
    <x v="1376"/>
    <x v="1"/>
    <x v="0"/>
    <x v="521"/>
    <n v="81.7"/>
    <x v="51"/>
    <d v="2025-02-22T00:00:00"/>
    <x v="1"/>
    <x v="0"/>
    <x v="0"/>
    <x v="0"/>
    <x v="7"/>
    <x v="3"/>
    <x v="7"/>
    <x v="1"/>
  </r>
  <r>
    <x v="1377"/>
    <x v="18"/>
    <x v="7"/>
    <x v="403"/>
    <n v="251"/>
    <x v="51"/>
    <d v="2025-02-24T00:00:00"/>
    <x v="1"/>
    <x v="3"/>
    <x v="1"/>
    <x v="0"/>
    <x v="8"/>
    <x v="2"/>
    <x v="7"/>
    <x v="1"/>
  </r>
  <r>
    <x v="1378"/>
    <x v="8"/>
    <x v="0"/>
    <x v="736"/>
    <n v="20.2"/>
    <x v="51"/>
    <d v="2025-02-25T00:00:00"/>
    <x v="2"/>
    <x v="0"/>
    <x v="0"/>
    <x v="0"/>
    <x v="8"/>
    <x v="5"/>
    <x v="7"/>
    <x v="2"/>
  </r>
  <r>
    <x v="1379"/>
    <x v="8"/>
    <x v="2"/>
    <x v="455"/>
    <n v="46.2"/>
    <x v="51"/>
    <d v="2025-02-22T00:00:00"/>
    <x v="1"/>
    <x v="1"/>
    <x v="2"/>
    <x v="0"/>
    <x v="8"/>
    <x v="3"/>
    <x v="7"/>
    <x v="1"/>
  </r>
  <r>
    <x v="1380"/>
    <x v="10"/>
    <x v="0"/>
    <x v="737"/>
    <n v="59.2"/>
    <x v="51"/>
    <d v="2025-02-22T00:00:00"/>
    <x v="1"/>
    <x v="2"/>
    <x v="2"/>
    <x v="0"/>
    <x v="17"/>
    <x v="3"/>
    <x v="7"/>
    <x v="1"/>
  </r>
  <r>
    <x v="1381"/>
    <x v="0"/>
    <x v="0"/>
    <x v="21"/>
    <n v="46.7"/>
    <x v="51"/>
    <d v="2025-02-26T00:00:00"/>
    <x v="1"/>
    <x v="0"/>
    <x v="0"/>
    <x v="0"/>
    <x v="17"/>
    <x v="0"/>
    <x v="7"/>
    <x v="1"/>
  </r>
  <r>
    <x v="1382"/>
    <x v="6"/>
    <x v="20"/>
    <x v="654"/>
    <n v="624"/>
    <x v="51"/>
    <d v="2025-02-23T00:00:00"/>
    <x v="1"/>
    <x v="1"/>
    <x v="0"/>
    <x v="0"/>
    <x v="26"/>
    <x v="1"/>
    <x v="7"/>
    <x v="1"/>
  </r>
  <r>
    <x v="1383"/>
    <x v="8"/>
    <x v="1"/>
    <x v="359"/>
    <n v="38.4"/>
    <x v="51"/>
    <d v="2025-02-24T00:00:00"/>
    <x v="1"/>
    <x v="4"/>
    <x v="2"/>
    <x v="0"/>
    <x v="9"/>
    <x v="2"/>
    <x v="7"/>
    <x v="1"/>
  </r>
  <r>
    <x v="1384"/>
    <x v="17"/>
    <x v="3"/>
    <x v="80"/>
    <n v="292.59999999999997"/>
    <x v="51"/>
    <d v="2025-02-23T00:00:00"/>
    <x v="2"/>
    <x v="2"/>
    <x v="0"/>
    <x v="0"/>
    <x v="11"/>
    <x v="1"/>
    <x v="7"/>
    <x v="2"/>
  </r>
  <r>
    <x v="1385"/>
    <x v="8"/>
    <x v="13"/>
    <x v="484"/>
    <n v="224.39999999999998"/>
    <x v="51"/>
    <d v="2025-02-23T00:00:00"/>
    <x v="1"/>
    <x v="0"/>
    <x v="2"/>
    <x v="0"/>
    <x v="11"/>
    <x v="1"/>
    <x v="7"/>
    <x v="1"/>
  </r>
  <r>
    <x v="1386"/>
    <x v="10"/>
    <x v="2"/>
    <x v="738"/>
    <n v="180.60000000000002"/>
    <x v="51"/>
    <d v="2025-02-24T00:00:00"/>
    <x v="1"/>
    <x v="4"/>
    <x v="1"/>
    <x v="0"/>
    <x v="38"/>
    <x v="2"/>
    <x v="7"/>
    <x v="1"/>
  </r>
  <r>
    <x v="1387"/>
    <x v="9"/>
    <x v="1"/>
    <x v="739"/>
    <n v="183"/>
    <x v="52"/>
    <d v="2025-02-23T00:00:00"/>
    <x v="1"/>
    <x v="0"/>
    <x v="0"/>
    <x v="0"/>
    <x v="13"/>
    <x v="3"/>
    <x v="7"/>
    <x v="1"/>
  </r>
  <r>
    <x v="1388"/>
    <x v="3"/>
    <x v="9"/>
    <x v="740"/>
    <n v="278.5"/>
    <x v="52"/>
    <d v="2025-02-24T00:00:00"/>
    <x v="0"/>
    <x v="1"/>
    <x v="2"/>
    <x v="0"/>
    <x v="21"/>
    <x v="1"/>
    <x v="7"/>
    <x v="0"/>
  </r>
  <r>
    <x v="1389"/>
    <x v="7"/>
    <x v="1"/>
    <x v="741"/>
    <n v="153.4"/>
    <x v="52"/>
    <d v="2025-02-24T00:00:00"/>
    <x v="1"/>
    <x v="0"/>
    <x v="1"/>
    <x v="0"/>
    <x v="21"/>
    <x v="1"/>
    <x v="7"/>
    <x v="1"/>
  </r>
  <r>
    <x v="1390"/>
    <x v="8"/>
    <x v="38"/>
    <x v="742"/>
    <n v="592.19999999999993"/>
    <x v="52"/>
    <d v="2025-02-27T00:00:00"/>
    <x v="1"/>
    <x v="2"/>
    <x v="0"/>
    <x v="0"/>
    <x v="1"/>
    <x v="0"/>
    <x v="7"/>
    <x v="1"/>
  </r>
  <r>
    <x v="1391"/>
    <x v="7"/>
    <x v="9"/>
    <x v="743"/>
    <n v="466"/>
    <x v="52"/>
    <d v="2025-02-24T00:00:00"/>
    <x v="2"/>
    <x v="4"/>
    <x v="2"/>
    <x v="0"/>
    <x v="1"/>
    <x v="1"/>
    <x v="7"/>
    <x v="2"/>
  </r>
  <r>
    <x v="1392"/>
    <x v="17"/>
    <x v="0"/>
    <x v="57"/>
    <n v="33.299999999999997"/>
    <x v="52"/>
    <d v="2025-02-23T00:00:00"/>
    <x v="1"/>
    <x v="4"/>
    <x v="0"/>
    <x v="0"/>
    <x v="2"/>
    <x v="3"/>
    <x v="7"/>
    <x v="1"/>
  </r>
  <r>
    <x v="1393"/>
    <x v="10"/>
    <x v="1"/>
    <x v="644"/>
    <n v="78.2"/>
    <x v="52"/>
    <d v="2025-02-25T00:00:00"/>
    <x v="1"/>
    <x v="0"/>
    <x v="0"/>
    <x v="0"/>
    <x v="44"/>
    <x v="2"/>
    <x v="7"/>
    <x v="1"/>
  </r>
  <r>
    <x v="1394"/>
    <x v="7"/>
    <x v="4"/>
    <x v="299"/>
    <n v="543.59999999999991"/>
    <x v="52"/>
    <d v="2025-02-23T00:00:00"/>
    <x v="1"/>
    <x v="2"/>
    <x v="0"/>
    <x v="0"/>
    <x v="33"/>
    <x v="3"/>
    <x v="7"/>
    <x v="1"/>
  </r>
  <r>
    <x v="1395"/>
    <x v="9"/>
    <x v="3"/>
    <x v="412"/>
    <n v="237.29999999999998"/>
    <x v="52"/>
    <d v="2025-02-23T00:00:00"/>
    <x v="1"/>
    <x v="4"/>
    <x v="0"/>
    <x v="0"/>
    <x v="33"/>
    <x v="3"/>
    <x v="7"/>
    <x v="1"/>
  </r>
  <r>
    <x v="1396"/>
    <x v="8"/>
    <x v="2"/>
    <x v="129"/>
    <n v="57"/>
    <x v="52"/>
    <d v="2025-02-23T00:00:00"/>
    <x v="1"/>
    <x v="0"/>
    <x v="2"/>
    <x v="0"/>
    <x v="15"/>
    <x v="3"/>
    <x v="7"/>
    <x v="1"/>
  </r>
  <r>
    <x v="1397"/>
    <x v="4"/>
    <x v="0"/>
    <x v="245"/>
    <n v="41.9"/>
    <x v="52"/>
    <d v="2025-02-25T00:00:00"/>
    <x v="2"/>
    <x v="2"/>
    <x v="0"/>
    <x v="0"/>
    <x v="22"/>
    <x v="2"/>
    <x v="7"/>
    <x v="2"/>
  </r>
  <r>
    <x v="1398"/>
    <x v="1"/>
    <x v="12"/>
    <x v="151"/>
    <n v="150"/>
    <x v="52"/>
    <d v="2025-02-22T00:00:00"/>
    <x v="2"/>
    <x v="0"/>
    <x v="0"/>
    <x v="0"/>
    <x v="3"/>
    <x v="7"/>
    <x v="7"/>
    <x v="2"/>
  </r>
  <r>
    <x v="1399"/>
    <x v="0"/>
    <x v="1"/>
    <x v="363"/>
    <n v="81.599999999999994"/>
    <x v="52"/>
    <d v="2025-02-25T00:00:00"/>
    <x v="1"/>
    <x v="0"/>
    <x v="0"/>
    <x v="0"/>
    <x v="3"/>
    <x v="2"/>
    <x v="7"/>
    <x v="1"/>
  </r>
  <r>
    <x v="1400"/>
    <x v="0"/>
    <x v="12"/>
    <x v="59"/>
    <n v="92.4"/>
    <x v="52"/>
    <d v="2025-02-23T00:00:00"/>
    <x v="2"/>
    <x v="4"/>
    <x v="0"/>
    <x v="0"/>
    <x v="3"/>
    <x v="3"/>
    <x v="7"/>
    <x v="2"/>
  </r>
  <r>
    <x v="1401"/>
    <x v="8"/>
    <x v="9"/>
    <x v="418"/>
    <n v="196.5"/>
    <x v="52"/>
    <d v="2025-02-23T00:00:00"/>
    <x v="2"/>
    <x v="0"/>
    <x v="0"/>
    <x v="0"/>
    <x v="3"/>
    <x v="3"/>
    <x v="7"/>
    <x v="2"/>
  </r>
  <r>
    <x v="1402"/>
    <x v="2"/>
    <x v="12"/>
    <x v="744"/>
    <n v="340.8"/>
    <x v="52"/>
    <d v="2025-02-27T00:00:00"/>
    <x v="1"/>
    <x v="2"/>
    <x v="0"/>
    <x v="0"/>
    <x v="3"/>
    <x v="0"/>
    <x v="7"/>
    <x v="1"/>
  </r>
  <r>
    <x v="1403"/>
    <x v="8"/>
    <x v="13"/>
    <x v="398"/>
    <n v="96"/>
    <x v="52"/>
    <d v="2025-02-25T00:00:00"/>
    <x v="1"/>
    <x v="1"/>
    <x v="0"/>
    <x v="0"/>
    <x v="3"/>
    <x v="2"/>
    <x v="7"/>
    <x v="1"/>
  </r>
  <r>
    <x v="1404"/>
    <x v="1"/>
    <x v="1"/>
    <x v="601"/>
    <n v="67.599999999999994"/>
    <x v="52"/>
    <d v="2025-02-26T00:00:00"/>
    <x v="2"/>
    <x v="1"/>
    <x v="0"/>
    <x v="0"/>
    <x v="3"/>
    <x v="5"/>
    <x v="7"/>
    <x v="2"/>
  </r>
  <r>
    <x v="1405"/>
    <x v="3"/>
    <x v="0"/>
    <x v="579"/>
    <n v="70"/>
    <x v="52"/>
    <d v="2025-02-23T00:00:00"/>
    <x v="2"/>
    <x v="0"/>
    <x v="0"/>
    <x v="0"/>
    <x v="3"/>
    <x v="3"/>
    <x v="7"/>
    <x v="2"/>
  </r>
  <r>
    <x v="1406"/>
    <x v="9"/>
    <x v="0"/>
    <x v="745"/>
    <n v="88"/>
    <x v="52"/>
    <d v="2025-02-27T00:00:00"/>
    <x v="2"/>
    <x v="3"/>
    <x v="0"/>
    <x v="0"/>
    <x v="3"/>
    <x v="0"/>
    <x v="7"/>
    <x v="2"/>
  </r>
  <r>
    <x v="1407"/>
    <x v="2"/>
    <x v="2"/>
    <x v="746"/>
    <n v="222.29999999999998"/>
    <x v="52"/>
    <d v="2025-02-22T00:00:00"/>
    <x v="1"/>
    <x v="4"/>
    <x v="1"/>
    <x v="0"/>
    <x v="3"/>
    <x v="7"/>
    <x v="7"/>
    <x v="1"/>
  </r>
  <r>
    <x v="1408"/>
    <x v="2"/>
    <x v="0"/>
    <x v="747"/>
    <n v="161.9"/>
    <x v="52"/>
    <d v="2025-02-24T00:00:00"/>
    <x v="1"/>
    <x v="2"/>
    <x v="0"/>
    <x v="0"/>
    <x v="3"/>
    <x v="1"/>
    <x v="7"/>
    <x v="1"/>
  </r>
  <r>
    <x v="1409"/>
    <x v="4"/>
    <x v="1"/>
    <x v="548"/>
    <n v="88"/>
    <x v="52"/>
    <d v="2025-02-23T00:00:00"/>
    <x v="3"/>
    <x v="4"/>
    <x v="1"/>
    <x v="0"/>
    <x v="3"/>
    <x v="3"/>
    <x v="7"/>
    <x v="3"/>
  </r>
  <r>
    <x v="1410"/>
    <x v="11"/>
    <x v="0"/>
    <x v="201"/>
    <n v="32.1"/>
    <x v="52"/>
    <d v="2025-02-22T00:00:00"/>
    <x v="2"/>
    <x v="3"/>
    <x v="3"/>
    <x v="0"/>
    <x v="3"/>
    <x v="7"/>
    <x v="7"/>
    <x v="2"/>
  </r>
  <r>
    <x v="1411"/>
    <x v="2"/>
    <x v="12"/>
    <x v="720"/>
    <n v="419.2"/>
    <x v="53"/>
    <d v="2025-02-25T00:00:00"/>
    <x v="3"/>
    <x v="0"/>
    <x v="0"/>
    <x v="0"/>
    <x v="3"/>
    <x v="1"/>
    <x v="8"/>
    <x v="3"/>
  </r>
  <r>
    <x v="1412"/>
    <x v="9"/>
    <x v="13"/>
    <x v="748"/>
    <n v="404.40000000000003"/>
    <x v="53"/>
    <d v="2025-02-24T00:00:00"/>
    <x v="2"/>
    <x v="3"/>
    <x v="0"/>
    <x v="0"/>
    <x v="3"/>
    <x v="3"/>
    <x v="8"/>
    <x v="2"/>
  </r>
  <r>
    <x v="1413"/>
    <x v="6"/>
    <x v="1"/>
    <x v="749"/>
    <n v="230.4"/>
    <x v="53"/>
    <d v="2025-02-24T00:00:00"/>
    <x v="2"/>
    <x v="1"/>
    <x v="0"/>
    <x v="0"/>
    <x v="4"/>
    <x v="3"/>
    <x v="8"/>
    <x v="2"/>
  </r>
  <r>
    <x v="1414"/>
    <x v="8"/>
    <x v="19"/>
    <x v="83"/>
    <n v="449.5"/>
    <x v="53"/>
    <d v="2025-02-25T00:00:00"/>
    <x v="2"/>
    <x v="0"/>
    <x v="1"/>
    <x v="0"/>
    <x v="23"/>
    <x v="1"/>
    <x v="8"/>
    <x v="2"/>
  </r>
  <r>
    <x v="1415"/>
    <x v="6"/>
    <x v="5"/>
    <x v="633"/>
    <n v="730.40000000000009"/>
    <x v="53"/>
    <d v="2025-02-25T00:00:00"/>
    <x v="2"/>
    <x v="0"/>
    <x v="0"/>
    <x v="0"/>
    <x v="6"/>
    <x v="1"/>
    <x v="8"/>
    <x v="2"/>
  </r>
  <r>
    <x v="1416"/>
    <x v="9"/>
    <x v="4"/>
    <x v="735"/>
    <n v="817.19999999999993"/>
    <x v="53"/>
    <d v="2025-02-24T00:00:00"/>
    <x v="2"/>
    <x v="2"/>
    <x v="0"/>
    <x v="0"/>
    <x v="8"/>
    <x v="3"/>
    <x v="8"/>
    <x v="2"/>
  </r>
  <r>
    <x v="1417"/>
    <x v="8"/>
    <x v="9"/>
    <x v="504"/>
    <n v="162.5"/>
    <x v="53"/>
    <d v="2025-02-27T00:00:00"/>
    <x v="1"/>
    <x v="2"/>
    <x v="1"/>
    <x v="0"/>
    <x v="8"/>
    <x v="5"/>
    <x v="8"/>
    <x v="1"/>
  </r>
  <r>
    <x v="1418"/>
    <x v="15"/>
    <x v="2"/>
    <x v="750"/>
    <n v="183.60000000000002"/>
    <x v="53"/>
    <d v="2025-02-25T00:00:00"/>
    <x v="2"/>
    <x v="1"/>
    <x v="1"/>
    <x v="0"/>
    <x v="8"/>
    <x v="1"/>
    <x v="8"/>
    <x v="2"/>
  </r>
  <r>
    <x v="1419"/>
    <x v="9"/>
    <x v="1"/>
    <x v="706"/>
    <n v="108.4"/>
    <x v="53"/>
    <d v="2025-02-24T00:00:00"/>
    <x v="2"/>
    <x v="1"/>
    <x v="0"/>
    <x v="0"/>
    <x v="8"/>
    <x v="3"/>
    <x v="8"/>
    <x v="2"/>
  </r>
  <r>
    <x v="1420"/>
    <x v="11"/>
    <x v="8"/>
    <x v="167"/>
    <n v="229.6"/>
    <x v="53"/>
    <d v="2025-02-25T00:00:00"/>
    <x v="1"/>
    <x v="1"/>
    <x v="0"/>
    <x v="0"/>
    <x v="9"/>
    <x v="1"/>
    <x v="8"/>
    <x v="1"/>
  </r>
  <r>
    <x v="1421"/>
    <x v="12"/>
    <x v="13"/>
    <x v="751"/>
    <n v="229.20000000000002"/>
    <x v="53"/>
    <d v="2025-02-27T00:00:00"/>
    <x v="2"/>
    <x v="0"/>
    <x v="1"/>
    <x v="0"/>
    <x v="9"/>
    <x v="5"/>
    <x v="8"/>
    <x v="2"/>
  </r>
  <r>
    <x v="1422"/>
    <x v="8"/>
    <x v="4"/>
    <x v="228"/>
    <n v="211.20000000000002"/>
    <x v="53"/>
    <d v="2025-02-24T00:00:00"/>
    <x v="2"/>
    <x v="2"/>
    <x v="1"/>
    <x v="0"/>
    <x v="9"/>
    <x v="3"/>
    <x v="8"/>
    <x v="2"/>
  </r>
  <r>
    <x v="1423"/>
    <x v="10"/>
    <x v="2"/>
    <x v="752"/>
    <n v="223.79999999999998"/>
    <x v="53"/>
    <d v="2025-02-23T00:00:00"/>
    <x v="2"/>
    <x v="2"/>
    <x v="0"/>
    <x v="0"/>
    <x v="11"/>
    <x v="7"/>
    <x v="8"/>
    <x v="2"/>
  </r>
  <r>
    <x v="1424"/>
    <x v="16"/>
    <x v="20"/>
    <x v="559"/>
    <n v="1089"/>
    <x v="53"/>
    <d v="2025-02-23T00:00:00"/>
    <x v="0"/>
    <x v="1"/>
    <x v="1"/>
    <x v="0"/>
    <x v="11"/>
    <x v="7"/>
    <x v="8"/>
    <x v="0"/>
  </r>
  <r>
    <x v="1425"/>
    <x v="7"/>
    <x v="0"/>
    <x v="556"/>
    <n v="62.3"/>
    <x v="53"/>
    <d v="2025-02-24T00:00:00"/>
    <x v="2"/>
    <x v="1"/>
    <x v="0"/>
    <x v="0"/>
    <x v="11"/>
    <x v="3"/>
    <x v="8"/>
    <x v="2"/>
  </r>
  <r>
    <x v="1426"/>
    <x v="3"/>
    <x v="2"/>
    <x v="601"/>
    <n v="101.39999999999999"/>
    <x v="53"/>
    <d v="2025-02-25T00:00:00"/>
    <x v="1"/>
    <x v="0"/>
    <x v="2"/>
    <x v="0"/>
    <x v="20"/>
    <x v="1"/>
    <x v="8"/>
    <x v="1"/>
  </r>
  <r>
    <x v="1427"/>
    <x v="9"/>
    <x v="0"/>
    <x v="753"/>
    <n v="85.7"/>
    <x v="53"/>
    <d v="2025-02-26T00:00:00"/>
    <x v="1"/>
    <x v="3"/>
    <x v="1"/>
    <x v="0"/>
    <x v="21"/>
    <x v="2"/>
    <x v="8"/>
    <x v="1"/>
  </r>
  <r>
    <x v="1428"/>
    <x v="6"/>
    <x v="1"/>
    <x v="754"/>
    <n v="184.2"/>
    <x v="53"/>
    <d v="2025-02-25T00:00:00"/>
    <x v="1"/>
    <x v="1"/>
    <x v="0"/>
    <x v="0"/>
    <x v="21"/>
    <x v="1"/>
    <x v="8"/>
    <x v="1"/>
  </r>
  <r>
    <x v="1429"/>
    <x v="16"/>
    <x v="2"/>
    <x v="146"/>
    <n v="195.29999999999998"/>
    <x v="53"/>
    <d v="2025-02-26T00:00:00"/>
    <x v="1"/>
    <x v="0"/>
    <x v="0"/>
    <x v="0"/>
    <x v="1"/>
    <x v="2"/>
    <x v="8"/>
    <x v="1"/>
  </r>
  <r>
    <x v="1430"/>
    <x v="9"/>
    <x v="3"/>
    <x v="127"/>
    <n v="142.1"/>
    <x v="53"/>
    <d v="2025-02-24T00:00:00"/>
    <x v="2"/>
    <x v="2"/>
    <x v="2"/>
    <x v="0"/>
    <x v="2"/>
    <x v="3"/>
    <x v="8"/>
    <x v="2"/>
  </r>
  <r>
    <x v="1431"/>
    <x v="19"/>
    <x v="1"/>
    <x v="755"/>
    <n v="59.6"/>
    <x v="53"/>
    <d v="2025-02-25T00:00:00"/>
    <x v="2"/>
    <x v="1"/>
    <x v="2"/>
    <x v="0"/>
    <x v="34"/>
    <x v="1"/>
    <x v="8"/>
    <x v="2"/>
  </r>
  <r>
    <x v="1432"/>
    <x v="0"/>
    <x v="1"/>
    <x v="512"/>
    <n v="48.4"/>
    <x v="53"/>
    <d v="2025-02-25T00:00:00"/>
    <x v="2"/>
    <x v="3"/>
    <x v="2"/>
    <x v="0"/>
    <x v="3"/>
    <x v="1"/>
    <x v="8"/>
    <x v="2"/>
  </r>
  <r>
    <x v="1433"/>
    <x v="3"/>
    <x v="0"/>
    <x v="405"/>
    <n v="57.3"/>
    <x v="53"/>
    <d v="2025-02-25T00:00:00"/>
    <x v="1"/>
    <x v="0"/>
    <x v="0"/>
    <x v="0"/>
    <x v="3"/>
    <x v="1"/>
    <x v="8"/>
    <x v="1"/>
  </r>
  <r>
    <x v="1434"/>
    <x v="2"/>
    <x v="0"/>
    <x v="756"/>
    <n v="108.9"/>
    <x v="53"/>
    <d v="2025-02-25T00:00:00"/>
    <x v="2"/>
    <x v="1"/>
    <x v="0"/>
    <x v="0"/>
    <x v="3"/>
    <x v="1"/>
    <x v="8"/>
    <x v="2"/>
  </r>
  <r>
    <x v="1435"/>
    <x v="7"/>
    <x v="9"/>
    <x v="155"/>
    <n v="253.5"/>
    <x v="53"/>
    <d v="2025-02-24T00:00:00"/>
    <x v="2"/>
    <x v="0"/>
    <x v="0"/>
    <x v="0"/>
    <x v="3"/>
    <x v="3"/>
    <x v="8"/>
    <x v="2"/>
  </r>
  <r>
    <x v="1436"/>
    <x v="7"/>
    <x v="11"/>
    <x v="757"/>
    <n v="594.9"/>
    <x v="53"/>
    <d v="2025-03-09T00:00:00"/>
    <x v="2"/>
    <x v="1"/>
    <x v="0"/>
    <x v="0"/>
    <x v="3"/>
    <x v="12"/>
    <x v="8"/>
    <x v="2"/>
  </r>
  <r>
    <x v="1437"/>
    <x v="12"/>
    <x v="9"/>
    <x v="294"/>
    <n v="183.5"/>
    <x v="53"/>
    <d v="2025-02-27T00:00:00"/>
    <x v="2"/>
    <x v="4"/>
    <x v="0"/>
    <x v="0"/>
    <x v="3"/>
    <x v="5"/>
    <x v="8"/>
    <x v="2"/>
  </r>
  <r>
    <x v="1438"/>
    <x v="8"/>
    <x v="14"/>
    <x v="55"/>
    <n v="328.1"/>
    <x v="53"/>
    <d v="2025-02-25T00:00:00"/>
    <x v="1"/>
    <x v="0"/>
    <x v="0"/>
    <x v="0"/>
    <x v="43"/>
    <x v="1"/>
    <x v="8"/>
    <x v="1"/>
  </r>
  <r>
    <x v="1439"/>
    <x v="8"/>
    <x v="12"/>
    <x v="289"/>
    <n v="82.8"/>
    <x v="53"/>
    <d v="2025-02-24T00:00:00"/>
    <x v="1"/>
    <x v="1"/>
    <x v="2"/>
    <x v="0"/>
    <x v="6"/>
    <x v="3"/>
    <x v="8"/>
    <x v="1"/>
  </r>
  <r>
    <x v="1440"/>
    <x v="5"/>
    <x v="2"/>
    <x v="86"/>
    <n v="164.10000000000002"/>
    <x v="53"/>
    <d v="2025-02-23T00:00:00"/>
    <x v="3"/>
    <x v="1"/>
    <x v="4"/>
    <x v="0"/>
    <x v="6"/>
    <x v="7"/>
    <x v="8"/>
    <x v="3"/>
  </r>
  <r>
    <x v="1441"/>
    <x v="4"/>
    <x v="1"/>
    <x v="82"/>
    <n v="39.6"/>
    <x v="53"/>
    <d v="2025-02-27T00:00:00"/>
    <x v="2"/>
    <x v="4"/>
    <x v="1"/>
    <x v="0"/>
    <x v="8"/>
    <x v="5"/>
    <x v="8"/>
    <x v="2"/>
  </r>
  <r>
    <x v="1442"/>
    <x v="7"/>
    <x v="0"/>
    <x v="758"/>
    <n v="41.1"/>
    <x v="53"/>
    <d v="2025-02-25T00:00:00"/>
    <x v="2"/>
    <x v="0"/>
    <x v="2"/>
    <x v="0"/>
    <x v="8"/>
    <x v="1"/>
    <x v="8"/>
    <x v="2"/>
  </r>
  <r>
    <x v="1443"/>
    <x v="11"/>
    <x v="8"/>
    <x v="347"/>
    <n v="348"/>
    <x v="53"/>
    <d v="2025-02-27T00:00:00"/>
    <x v="2"/>
    <x v="3"/>
    <x v="0"/>
    <x v="0"/>
    <x v="8"/>
    <x v="5"/>
    <x v="8"/>
    <x v="2"/>
  </r>
  <r>
    <x v="1444"/>
    <x v="8"/>
    <x v="21"/>
    <x v="129"/>
    <n v="266"/>
    <x v="53"/>
    <d v="2025-02-24T00:00:00"/>
    <x v="1"/>
    <x v="0"/>
    <x v="0"/>
    <x v="0"/>
    <x v="26"/>
    <x v="3"/>
    <x v="8"/>
    <x v="1"/>
  </r>
  <r>
    <x v="1445"/>
    <x v="2"/>
    <x v="12"/>
    <x v="258"/>
    <n v="205.6"/>
    <x v="53"/>
    <d v="2025-02-23T00:00:00"/>
    <x v="2"/>
    <x v="0"/>
    <x v="0"/>
    <x v="0"/>
    <x v="26"/>
    <x v="7"/>
    <x v="8"/>
    <x v="2"/>
  </r>
  <r>
    <x v="1446"/>
    <x v="10"/>
    <x v="1"/>
    <x v="759"/>
    <n v="79.599999999999994"/>
    <x v="53"/>
    <d v="2025-02-26T00:00:00"/>
    <x v="1"/>
    <x v="3"/>
    <x v="1"/>
    <x v="0"/>
    <x v="13"/>
    <x v="2"/>
    <x v="8"/>
    <x v="1"/>
  </r>
  <r>
    <x v="1447"/>
    <x v="6"/>
    <x v="9"/>
    <x v="156"/>
    <n v="305"/>
    <x v="53"/>
    <d v="2025-02-24T00:00:00"/>
    <x v="0"/>
    <x v="0"/>
    <x v="2"/>
    <x v="0"/>
    <x v="21"/>
    <x v="3"/>
    <x v="8"/>
    <x v="0"/>
  </r>
  <r>
    <x v="1448"/>
    <x v="8"/>
    <x v="5"/>
    <x v="536"/>
    <n v="166.1"/>
    <x v="54"/>
    <d v="2025-03-01T00:00:00"/>
    <x v="1"/>
    <x v="3"/>
    <x v="2"/>
    <x v="0"/>
    <x v="2"/>
    <x v="0"/>
    <x v="8"/>
    <x v="1"/>
  </r>
  <r>
    <x v="1449"/>
    <x v="1"/>
    <x v="3"/>
    <x v="760"/>
    <n v="499.09999999999997"/>
    <x v="54"/>
    <d v="2025-02-25T00:00:00"/>
    <x v="1"/>
    <x v="4"/>
    <x v="0"/>
    <x v="0"/>
    <x v="3"/>
    <x v="3"/>
    <x v="8"/>
    <x v="1"/>
  </r>
  <r>
    <x v="1450"/>
    <x v="10"/>
    <x v="0"/>
    <x v="136"/>
    <n v="25.8"/>
    <x v="54"/>
    <d v="2025-02-26T00:00:00"/>
    <x v="2"/>
    <x v="0"/>
    <x v="2"/>
    <x v="0"/>
    <x v="3"/>
    <x v="1"/>
    <x v="8"/>
    <x v="2"/>
  </r>
  <r>
    <x v="1451"/>
    <x v="8"/>
    <x v="9"/>
    <x v="180"/>
    <n v="198"/>
    <x v="54"/>
    <d v="2025-02-26T00:00:00"/>
    <x v="1"/>
    <x v="1"/>
    <x v="2"/>
    <x v="0"/>
    <x v="3"/>
    <x v="1"/>
    <x v="8"/>
    <x v="1"/>
  </r>
  <r>
    <x v="1452"/>
    <x v="5"/>
    <x v="1"/>
    <x v="761"/>
    <n v="128"/>
    <x v="54"/>
    <d v="2025-02-24T00:00:00"/>
    <x v="1"/>
    <x v="1"/>
    <x v="1"/>
    <x v="0"/>
    <x v="3"/>
    <x v="7"/>
    <x v="8"/>
    <x v="1"/>
  </r>
  <r>
    <x v="1453"/>
    <x v="8"/>
    <x v="1"/>
    <x v="1"/>
    <n v="61.2"/>
    <x v="54"/>
    <d v="2025-02-27T00:00:00"/>
    <x v="1"/>
    <x v="0"/>
    <x v="2"/>
    <x v="0"/>
    <x v="3"/>
    <x v="2"/>
    <x v="8"/>
    <x v="1"/>
  </r>
  <r>
    <x v="1454"/>
    <x v="8"/>
    <x v="1"/>
    <x v="210"/>
    <n v="42.6"/>
    <x v="54"/>
    <d v="2025-02-25T00:00:00"/>
    <x v="1"/>
    <x v="0"/>
    <x v="1"/>
    <x v="0"/>
    <x v="3"/>
    <x v="3"/>
    <x v="8"/>
    <x v="1"/>
  </r>
  <r>
    <x v="1455"/>
    <x v="7"/>
    <x v="0"/>
    <x v="363"/>
    <n v="40.799999999999997"/>
    <x v="54"/>
    <d v="2025-02-26T00:00:00"/>
    <x v="2"/>
    <x v="4"/>
    <x v="0"/>
    <x v="0"/>
    <x v="3"/>
    <x v="1"/>
    <x v="8"/>
    <x v="2"/>
  </r>
  <r>
    <x v="1456"/>
    <x v="9"/>
    <x v="12"/>
    <x v="389"/>
    <n v="110.8"/>
    <x v="54"/>
    <d v="2025-02-25T00:00:00"/>
    <x v="2"/>
    <x v="0"/>
    <x v="1"/>
    <x v="0"/>
    <x v="3"/>
    <x v="3"/>
    <x v="8"/>
    <x v="2"/>
  </r>
  <r>
    <x v="1457"/>
    <x v="6"/>
    <x v="1"/>
    <x v="554"/>
    <n v="129.19999999999999"/>
    <x v="54"/>
    <d v="2025-02-25T00:00:00"/>
    <x v="1"/>
    <x v="0"/>
    <x v="1"/>
    <x v="0"/>
    <x v="3"/>
    <x v="3"/>
    <x v="8"/>
    <x v="1"/>
  </r>
  <r>
    <x v="1458"/>
    <x v="6"/>
    <x v="27"/>
    <x v="677"/>
    <n v="1457.6"/>
    <x v="54"/>
    <d v="2025-02-25T00:00:00"/>
    <x v="2"/>
    <x v="1"/>
    <x v="2"/>
    <x v="0"/>
    <x v="3"/>
    <x v="3"/>
    <x v="8"/>
    <x v="2"/>
  </r>
  <r>
    <x v="1459"/>
    <x v="1"/>
    <x v="0"/>
    <x v="557"/>
    <n v="39.5"/>
    <x v="54"/>
    <d v="2025-03-04T00:00:00"/>
    <x v="2"/>
    <x v="0"/>
    <x v="0"/>
    <x v="0"/>
    <x v="3"/>
    <x v="9"/>
    <x v="8"/>
    <x v="2"/>
  </r>
  <r>
    <x v="1460"/>
    <x v="9"/>
    <x v="1"/>
    <x v="301"/>
    <n v="43.6"/>
    <x v="54"/>
    <d v="2025-02-28T00:00:00"/>
    <x v="1"/>
    <x v="4"/>
    <x v="2"/>
    <x v="0"/>
    <x v="3"/>
    <x v="5"/>
    <x v="8"/>
    <x v="1"/>
  </r>
  <r>
    <x v="1461"/>
    <x v="8"/>
    <x v="1"/>
    <x v="707"/>
    <n v="102"/>
    <x v="54"/>
    <d v="2025-02-27T00:00:00"/>
    <x v="1"/>
    <x v="3"/>
    <x v="2"/>
    <x v="0"/>
    <x v="3"/>
    <x v="2"/>
    <x v="8"/>
    <x v="1"/>
  </r>
  <r>
    <x v="1462"/>
    <x v="2"/>
    <x v="0"/>
    <x v="109"/>
    <n v="92.6"/>
    <x v="54"/>
    <d v="2025-02-27T00:00:00"/>
    <x v="2"/>
    <x v="0"/>
    <x v="2"/>
    <x v="0"/>
    <x v="35"/>
    <x v="2"/>
    <x v="8"/>
    <x v="2"/>
  </r>
  <r>
    <x v="1463"/>
    <x v="9"/>
    <x v="1"/>
    <x v="16"/>
    <n v="62.2"/>
    <x v="54"/>
    <d v="2025-03-01T00:00:00"/>
    <x v="0"/>
    <x v="1"/>
    <x v="3"/>
    <x v="0"/>
    <x v="23"/>
    <x v="0"/>
    <x v="8"/>
    <x v="0"/>
  </r>
  <r>
    <x v="1464"/>
    <x v="5"/>
    <x v="2"/>
    <x v="576"/>
    <n v="169.2"/>
    <x v="54"/>
    <d v="2025-02-25T00:00:00"/>
    <x v="0"/>
    <x v="1"/>
    <x v="0"/>
    <x v="0"/>
    <x v="6"/>
    <x v="3"/>
    <x v="8"/>
    <x v="0"/>
  </r>
  <r>
    <x v="1465"/>
    <x v="9"/>
    <x v="0"/>
    <x v="245"/>
    <n v="41.9"/>
    <x v="54"/>
    <d v="2025-02-24T00:00:00"/>
    <x v="1"/>
    <x v="1"/>
    <x v="0"/>
    <x v="0"/>
    <x v="6"/>
    <x v="7"/>
    <x v="8"/>
    <x v="1"/>
  </r>
  <r>
    <x v="1466"/>
    <x v="10"/>
    <x v="3"/>
    <x v="206"/>
    <n v="321.3"/>
    <x v="54"/>
    <d v="2025-02-25T00:00:00"/>
    <x v="1"/>
    <x v="3"/>
    <x v="2"/>
    <x v="0"/>
    <x v="8"/>
    <x v="3"/>
    <x v="8"/>
    <x v="1"/>
  </r>
  <r>
    <x v="1467"/>
    <x v="14"/>
    <x v="11"/>
    <x v="278"/>
    <n v="219.6"/>
    <x v="54"/>
    <d v="2025-02-28T00:00:00"/>
    <x v="1"/>
    <x v="3"/>
    <x v="2"/>
    <x v="0"/>
    <x v="8"/>
    <x v="5"/>
    <x v="8"/>
    <x v="1"/>
  </r>
  <r>
    <x v="1468"/>
    <x v="8"/>
    <x v="0"/>
    <x v="762"/>
    <n v="18.2"/>
    <x v="54"/>
    <d v="2025-02-25T00:00:00"/>
    <x v="2"/>
    <x v="2"/>
    <x v="2"/>
    <x v="0"/>
    <x v="8"/>
    <x v="3"/>
    <x v="8"/>
    <x v="2"/>
  </r>
  <r>
    <x v="1469"/>
    <x v="8"/>
    <x v="12"/>
    <x v="440"/>
    <n v="204.8"/>
    <x v="54"/>
    <d v="2025-02-25T00:00:00"/>
    <x v="2"/>
    <x v="0"/>
    <x v="0"/>
    <x v="0"/>
    <x v="8"/>
    <x v="3"/>
    <x v="8"/>
    <x v="2"/>
  </r>
  <r>
    <x v="1470"/>
    <x v="6"/>
    <x v="0"/>
    <x v="115"/>
    <n v="59.7"/>
    <x v="54"/>
    <d v="2025-02-27T00:00:00"/>
    <x v="1"/>
    <x v="0"/>
    <x v="2"/>
    <x v="0"/>
    <x v="8"/>
    <x v="2"/>
    <x v="8"/>
    <x v="1"/>
  </r>
  <r>
    <x v="1471"/>
    <x v="4"/>
    <x v="1"/>
    <x v="570"/>
    <n v="67.2"/>
    <x v="54"/>
    <d v="2025-02-26T00:00:00"/>
    <x v="2"/>
    <x v="0"/>
    <x v="0"/>
    <x v="0"/>
    <x v="17"/>
    <x v="1"/>
    <x v="8"/>
    <x v="2"/>
  </r>
  <r>
    <x v="1472"/>
    <x v="12"/>
    <x v="0"/>
    <x v="763"/>
    <n v="90.4"/>
    <x v="54"/>
    <d v="2025-02-28T00:00:00"/>
    <x v="1"/>
    <x v="1"/>
    <x v="2"/>
    <x v="0"/>
    <x v="10"/>
    <x v="5"/>
    <x v="8"/>
    <x v="1"/>
  </r>
  <r>
    <x v="1473"/>
    <x v="11"/>
    <x v="2"/>
    <x v="451"/>
    <n v="210.89999999999998"/>
    <x v="54"/>
    <d v="2025-02-24T00:00:00"/>
    <x v="1"/>
    <x v="1"/>
    <x v="2"/>
    <x v="0"/>
    <x v="11"/>
    <x v="7"/>
    <x v="8"/>
    <x v="1"/>
  </r>
  <r>
    <x v="1474"/>
    <x v="4"/>
    <x v="1"/>
    <x v="580"/>
    <n v="41"/>
    <x v="54"/>
    <d v="2025-02-27T00:00:00"/>
    <x v="2"/>
    <x v="0"/>
    <x v="1"/>
    <x v="0"/>
    <x v="11"/>
    <x v="2"/>
    <x v="8"/>
    <x v="2"/>
  </r>
  <r>
    <x v="1475"/>
    <x v="5"/>
    <x v="5"/>
    <x v="410"/>
    <n v="413.6"/>
    <x v="54"/>
    <d v="2025-02-25T00:00:00"/>
    <x v="1"/>
    <x v="0"/>
    <x v="0"/>
    <x v="0"/>
    <x v="38"/>
    <x v="3"/>
    <x v="8"/>
    <x v="1"/>
  </r>
  <r>
    <x v="1476"/>
    <x v="5"/>
    <x v="12"/>
    <x v="89"/>
    <n v="246"/>
    <x v="54"/>
    <d v="2025-03-03T00:00:00"/>
    <x v="2"/>
    <x v="1"/>
    <x v="4"/>
    <x v="0"/>
    <x v="13"/>
    <x v="6"/>
    <x v="8"/>
    <x v="2"/>
  </r>
  <r>
    <x v="1477"/>
    <x v="9"/>
    <x v="0"/>
    <x v="232"/>
    <n v="33.5"/>
    <x v="55"/>
    <d v="2025-03-01T00:00:00"/>
    <x v="1"/>
    <x v="4"/>
    <x v="1"/>
    <x v="0"/>
    <x v="21"/>
    <x v="5"/>
    <x v="8"/>
    <x v="1"/>
  </r>
  <r>
    <x v="1478"/>
    <x v="4"/>
    <x v="2"/>
    <x v="143"/>
    <n v="87.9"/>
    <x v="55"/>
    <d v="2025-02-27T00:00:00"/>
    <x v="2"/>
    <x v="1"/>
    <x v="2"/>
    <x v="0"/>
    <x v="1"/>
    <x v="1"/>
    <x v="8"/>
    <x v="2"/>
  </r>
  <r>
    <x v="1479"/>
    <x v="2"/>
    <x v="1"/>
    <x v="764"/>
    <n v="251.8"/>
    <x v="55"/>
    <d v="2025-03-02T00:00:00"/>
    <x v="2"/>
    <x v="4"/>
    <x v="1"/>
    <x v="0"/>
    <x v="1"/>
    <x v="0"/>
    <x v="8"/>
    <x v="2"/>
  </r>
  <r>
    <x v="1480"/>
    <x v="5"/>
    <x v="9"/>
    <x v="143"/>
    <n v="146.5"/>
    <x v="55"/>
    <d v="2025-02-25T00:00:00"/>
    <x v="1"/>
    <x v="2"/>
    <x v="0"/>
    <x v="0"/>
    <x v="44"/>
    <x v="7"/>
    <x v="8"/>
    <x v="1"/>
  </r>
  <r>
    <x v="1481"/>
    <x v="9"/>
    <x v="0"/>
    <x v="256"/>
    <n v="37.799999999999997"/>
    <x v="55"/>
    <d v="2025-02-28T00:00:00"/>
    <x v="2"/>
    <x v="0"/>
    <x v="2"/>
    <x v="0"/>
    <x v="3"/>
    <x v="2"/>
    <x v="8"/>
    <x v="2"/>
  </r>
  <r>
    <x v="1482"/>
    <x v="0"/>
    <x v="12"/>
    <x v="132"/>
    <n v="126.8"/>
    <x v="55"/>
    <d v="2025-02-26T00:00:00"/>
    <x v="1"/>
    <x v="2"/>
    <x v="2"/>
    <x v="0"/>
    <x v="3"/>
    <x v="3"/>
    <x v="8"/>
    <x v="1"/>
  </r>
  <r>
    <x v="1483"/>
    <x v="8"/>
    <x v="9"/>
    <x v="133"/>
    <n v="131.5"/>
    <x v="55"/>
    <d v="2025-02-26T00:00:00"/>
    <x v="2"/>
    <x v="3"/>
    <x v="2"/>
    <x v="0"/>
    <x v="3"/>
    <x v="3"/>
    <x v="8"/>
    <x v="2"/>
  </r>
  <r>
    <x v="1484"/>
    <x v="8"/>
    <x v="2"/>
    <x v="59"/>
    <n v="69.300000000000011"/>
    <x v="55"/>
    <d v="2025-02-26T00:00:00"/>
    <x v="3"/>
    <x v="2"/>
    <x v="1"/>
    <x v="0"/>
    <x v="3"/>
    <x v="3"/>
    <x v="8"/>
    <x v="3"/>
  </r>
  <r>
    <x v="1485"/>
    <x v="4"/>
    <x v="0"/>
    <x v="208"/>
    <n v="22.3"/>
    <x v="55"/>
    <d v="2025-02-27T00:00:00"/>
    <x v="2"/>
    <x v="2"/>
    <x v="0"/>
    <x v="0"/>
    <x v="3"/>
    <x v="1"/>
    <x v="8"/>
    <x v="2"/>
  </r>
  <r>
    <x v="1486"/>
    <x v="12"/>
    <x v="1"/>
    <x v="765"/>
    <n v="199"/>
    <x v="55"/>
    <d v="2025-02-27T00:00:00"/>
    <x v="2"/>
    <x v="2"/>
    <x v="0"/>
    <x v="0"/>
    <x v="3"/>
    <x v="1"/>
    <x v="8"/>
    <x v="2"/>
  </r>
  <r>
    <x v="1487"/>
    <x v="12"/>
    <x v="12"/>
    <x v="68"/>
    <n v="189.6"/>
    <x v="55"/>
    <d v="2025-02-28T00:00:00"/>
    <x v="2"/>
    <x v="1"/>
    <x v="0"/>
    <x v="0"/>
    <x v="3"/>
    <x v="2"/>
    <x v="8"/>
    <x v="2"/>
  </r>
  <r>
    <x v="1488"/>
    <x v="0"/>
    <x v="5"/>
    <x v="151"/>
    <n v="412.5"/>
    <x v="55"/>
    <d v="2025-02-27T00:00:00"/>
    <x v="2"/>
    <x v="0"/>
    <x v="3"/>
    <x v="0"/>
    <x v="3"/>
    <x v="1"/>
    <x v="8"/>
    <x v="2"/>
  </r>
  <r>
    <x v="1489"/>
    <x v="10"/>
    <x v="0"/>
    <x v="226"/>
    <n v="45.1"/>
    <x v="55"/>
    <d v="2025-03-02T00:00:00"/>
    <x v="1"/>
    <x v="3"/>
    <x v="2"/>
    <x v="0"/>
    <x v="24"/>
    <x v="0"/>
    <x v="8"/>
    <x v="1"/>
  </r>
  <r>
    <x v="1490"/>
    <x v="5"/>
    <x v="7"/>
    <x v="766"/>
    <n v="344"/>
    <x v="55"/>
    <d v="2025-02-28T00:00:00"/>
    <x v="1"/>
    <x v="2"/>
    <x v="0"/>
    <x v="0"/>
    <x v="16"/>
    <x v="2"/>
    <x v="8"/>
    <x v="1"/>
  </r>
  <r>
    <x v="1491"/>
    <x v="4"/>
    <x v="1"/>
    <x v="545"/>
    <n v="76"/>
    <x v="55"/>
    <d v="2025-02-27T00:00:00"/>
    <x v="2"/>
    <x v="1"/>
    <x v="0"/>
    <x v="0"/>
    <x v="5"/>
    <x v="1"/>
    <x v="8"/>
    <x v="2"/>
  </r>
  <r>
    <x v="1492"/>
    <x v="3"/>
    <x v="21"/>
    <x v="498"/>
    <n v="453.59999999999997"/>
    <x v="55"/>
    <d v="2025-02-28T00:00:00"/>
    <x v="1"/>
    <x v="4"/>
    <x v="0"/>
    <x v="0"/>
    <x v="6"/>
    <x v="2"/>
    <x v="8"/>
    <x v="1"/>
  </r>
  <r>
    <x v="1493"/>
    <x v="6"/>
    <x v="2"/>
    <x v="446"/>
    <n v="122.69999999999999"/>
    <x v="55"/>
    <d v="2025-02-25T00:00:00"/>
    <x v="0"/>
    <x v="1"/>
    <x v="0"/>
    <x v="0"/>
    <x v="8"/>
    <x v="7"/>
    <x v="8"/>
    <x v="0"/>
  </r>
  <r>
    <x v="1494"/>
    <x v="7"/>
    <x v="3"/>
    <x v="767"/>
    <n v="533.4"/>
    <x v="55"/>
    <d v="2025-02-27T00:00:00"/>
    <x v="2"/>
    <x v="2"/>
    <x v="1"/>
    <x v="0"/>
    <x v="8"/>
    <x v="1"/>
    <x v="8"/>
    <x v="2"/>
  </r>
  <r>
    <x v="1495"/>
    <x v="2"/>
    <x v="0"/>
    <x v="768"/>
    <n v="85.6"/>
    <x v="55"/>
    <d v="2025-02-27T00:00:00"/>
    <x v="1"/>
    <x v="2"/>
    <x v="0"/>
    <x v="0"/>
    <x v="8"/>
    <x v="1"/>
    <x v="8"/>
    <x v="1"/>
  </r>
  <r>
    <x v="1496"/>
    <x v="4"/>
    <x v="12"/>
    <x v="769"/>
    <n v="100"/>
    <x v="55"/>
    <d v="2025-02-27T00:00:00"/>
    <x v="2"/>
    <x v="2"/>
    <x v="2"/>
    <x v="0"/>
    <x v="8"/>
    <x v="1"/>
    <x v="8"/>
    <x v="2"/>
  </r>
  <r>
    <x v="1497"/>
    <x v="2"/>
    <x v="9"/>
    <x v="770"/>
    <n v="753.5"/>
    <x v="55"/>
    <d v="2025-02-26T00:00:00"/>
    <x v="0"/>
    <x v="0"/>
    <x v="2"/>
    <x v="0"/>
    <x v="8"/>
    <x v="3"/>
    <x v="8"/>
    <x v="0"/>
  </r>
  <r>
    <x v="1498"/>
    <x v="8"/>
    <x v="0"/>
    <x v="266"/>
    <n v="19.600000000000001"/>
    <x v="55"/>
    <d v="2025-02-26T00:00:00"/>
    <x v="1"/>
    <x v="1"/>
    <x v="4"/>
    <x v="0"/>
    <x v="8"/>
    <x v="3"/>
    <x v="8"/>
    <x v="1"/>
  </r>
  <r>
    <x v="1499"/>
    <x v="13"/>
    <x v="1"/>
    <x v="151"/>
    <n v="75"/>
    <x v="55"/>
    <d v="2025-02-28T00:00:00"/>
    <x v="2"/>
    <x v="1"/>
    <x v="2"/>
    <x v="0"/>
    <x v="17"/>
    <x v="2"/>
    <x v="8"/>
    <x v="2"/>
  </r>
  <r>
    <x v="1500"/>
    <x v="9"/>
    <x v="2"/>
    <x v="424"/>
    <n v="155.69999999999999"/>
    <x v="55"/>
    <d v="2025-03-03T00:00:00"/>
    <x v="2"/>
    <x v="0"/>
    <x v="4"/>
    <x v="0"/>
    <x v="11"/>
    <x v="4"/>
    <x v="8"/>
    <x v="2"/>
  </r>
  <r>
    <x v="1501"/>
    <x v="1"/>
    <x v="1"/>
    <x v="15"/>
    <n v="61.8"/>
    <x v="55"/>
    <d v="2025-02-27T00:00:00"/>
    <x v="2"/>
    <x v="1"/>
    <x v="0"/>
    <x v="0"/>
    <x v="18"/>
    <x v="1"/>
    <x v="8"/>
    <x v="2"/>
  </r>
  <r>
    <x v="1502"/>
    <x v="4"/>
    <x v="2"/>
    <x v="191"/>
    <n v="63.599999999999994"/>
    <x v="55"/>
    <d v="2025-02-28T00:00:00"/>
    <x v="2"/>
    <x v="1"/>
    <x v="0"/>
    <x v="0"/>
    <x v="19"/>
    <x v="2"/>
    <x v="8"/>
    <x v="2"/>
  </r>
  <r>
    <x v="1503"/>
    <x v="13"/>
    <x v="14"/>
    <x v="25"/>
    <n v="297.5"/>
    <x v="55"/>
    <d v="2025-02-26T00:00:00"/>
    <x v="1"/>
    <x v="1"/>
    <x v="1"/>
    <x v="0"/>
    <x v="13"/>
    <x v="3"/>
    <x v="8"/>
    <x v="1"/>
  </r>
  <r>
    <x v="1504"/>
    <x v="12"/>
    <x v="1"/>
    <x v="589"/>
    <n v="107.6"/>
    <x v="55"/>
    <d v="2025-03-02T00:00:00"/>
    <x v="2"/>
    <x v="0"/>
    <x v="2"/>
    <x v="0"/>
    <x v="21"/>
    <x v="0"/>
    <x v="8"/>
    <x v="2"/>
  </r>
  <r>
    <x v="1505"/>
    <x v="19"/>
    <x v="1"/>
    <x v="771"/>
    <n v="34"/>
    <x v="55"/>
    <d v="2025-02-26T00:00:00"/>
    <x v="1"/>
    <x v="3"/>
    <x v="0"/>
    <x v="0"/>
    <x v="21"/>
    <x v="3"/>
    <x v="8"/>
    <x v="1"/>
  </r>
  <r>
    <x v="1506"/>
    <x v="6"/>
    <x v="0"/>
    <x v="772"/>
    <n v="103.2"/>
    <x v="55"/>
    <d v="2025-03-05T00:00:00"/>
    <x v="1"/>
    <x v="2"/>
    <x v="1"/>
    <x v="0"/>
    <x v="1"/>
    <x v="9"/>
    <x v="8"/>
    <x v="1"/>
  </r>
  <r>
    <x v="1507"/>
    <x v="6"/>
    <x v="12"/>
    <x v="451"/>
    <n v="281.2"/>
    <x v="55"/>
    <d v="2025-02-26T00:00:00"/>
    <x v="1"/>
    <x v="0"/>
    <x v="0"/>
    <x v="0"/>
    <x v="3"/>
    <x v="3"/>
    <x v="8"/>
    <x v="1"/>
  </r>
  <r>
    <x v="1508"/>
    <x v="2"/>
    <x v="1"/>
    <x v="773"/>
    <n v="147.6"/>
    <x v="55"/>
    <d v="2025-02-25T00:00:00"/>
    <x v="1"/>
    <x v="3"/>
    <x v="2"/>
    <x v="0"/>
    <x v="3"/>
    <x v="7"/>
    <x v="8"/>
    <x v="1"/>
  </r>
  <r>
    <x v="1509"/>
    <x v="1"/>
    <x v="4"/>
    <x v="509"/>
    <n v="812.40000000000009"/>
    <x v="55"/>
    <d v="2025-03-01T00:00:00"/>
    <x v="1"/>
    <x v="1"/>
    <x v="1"/>
    <x v="0"/>
    <x v="3"/>
    <x v="5"/>
    <x v="8"/>
    <x v="1"/>
  </r>
  <r>
    <x v="1510"/>
    <x v="13"/>
    <x v="3"/>
    <x v="20"/>
    <n v="306.59999999999997"/>
    <x v="55"/>
    <d v="2025-02-27T00:00:00"/>
    <x v="1"/>
    <x v="1"/>
    <x v="0"/>
    <x v="0"/>
    <x v="3"/>
    <x v="1"/>
    <x v="8"/>
    <x v="1"/>
  </r>
  <r>
    <x v="1511"/>
    <x v="17"/>
    <x v="13"/>
    <x v="774"/>
    <n v="431.40000000000003"/>
    <x v="55"/>
    <d v="2025-02-26T00:00:00"/>
    <x v="2"/>
    <x v="2"/>
    <x v="0"/>
    <x v="0"/>
    <x v="3"/>
    <x v="3"/>
    <x v="8"/>
    <x v="2"/>
  </r>
  <r>
    <x v="1512"/>
    <x v="8"/>
    <x v="1"/>
    <x v="133"/>
    <n v="52.6"/>
    <x v="56"/>
    <d v="2025-02-28T00:00:00"/>
    <x v="2"/>
    <x v="0"/>
    <x v="1"/>
    <x v="0"/>
    <x v="3"/>
    <x v="1"/>
    <x v="8"/>
    <x v="2"/>
  </r>
  <r>
    <x v="1513"/>
    <x v="6"/>
    <x v="12"/>
    <x v="699"/>
    <n v="210.4"/>
    <x v="56"/>
    <d v="2025-02-28T00:00:00"/>
    <x v="2"/>
    <x v="2"/>
    <x v="1"/>
    <x v="0"/>
    <x v="3"/>
    <x v="1"/>
    <x v="8"/>
    <x v="2"/>
  </r>
  <r>
    <x v="1514"/>
    <x v="10"/>
    <x v="0"/>
    <x v="195"/>
    <n v="32.700000000000003"/>
    <x v="56"/>
    <d v="2025-03-05T00:00:00"/>
    <x v="2"/>
    <x v="0"/>
    <x v="2"/>
    <x v="0"/>
    <x v="3"/>
    <x v="6"/>
    <x v="8"/>
    <x v="2"/>
  </r>
  <r>
    <x v="1515"/>
    <x v="5"/>
    <x v="12"/>
    <x v="400"/>
    <n v="155.6"/>
    <x v="56"/>
    <d v="2025-02-27T00:00:00"/>
    <x v="2"/>
    <x v="0"/>
    <x v="0"/>
    <x v="0"/>
    <x v="3"/>
    <x v="3"/>
    <x v="8"/>
    <x v="2"/>
  </r>
  <r>
    <x v="1516"/>
    <x v="9"/>
    <x v="9"/>
    <x v="775"/>
    <n v="175"/>
    <x v="56"/>
    <d v="2025-02-28T00:00:00"/>
    <x v="1"/>
    <x v="0"/>
    <x v="0"/>
    <x v="0"/>
    <x v="3"/>
    <x v="1"/>
    <x v="8"/>
    <x v="1"/>
  </r>
  <r>
    <x v="1517"/>
    <x v="2"/>
    <x v="1"/>
    <x v="776"/>
    <n v="242"/>
    <x v="56"/>
    <d v="2025-02-27T00:00:00"/>
    <x v="2"/>
    <x v="1"/>
    <x v="1"/>
    <x v="0"/>
    <x v="3"/>
    <x v="3"/>
    <x v="8"/>
    <x v="2"/>
  </r>
  <r>
    <x v="1518"/>
    <x v="6"/>
    <x v="2"/>
    <x v="146"/>
    <n v="195.29999999999998"/>
    <x v="56"/>
    <d v="2025-03-02T00:00:00"/>
    <x v="1"/>
    <x v="2"/>
    <x v="0"/>
    <x v="0"/>
    <x v="36"/>
    <x v="5"/>
    <x v="8"/>
    <x v="1"/>
  </r>
  <r>
    <x v="1519"/>
    <x v="1"/>
    <x v="38"/>
    <x v="259"/>
    <n v="1339.8"/>
    <x v="56"/>
    <d v="2025-02-28T00:00:00"/>
    <x v="2"/>
    <x v="0"/>
    <x v="0"/>
    <x v="0"/>
    <x v="8"/>
    <x v="1"/>
    <x v="8"/>
    <x v="2"/>
  </r>
  <r>
    <x v="1520"/>
    <x v="7"/>
    <x v="0"/>
    <x v="777"/>
    <n v="77.7"/>
    <x v="56"/>
    <d v="2025-02-28T00:00:00"/>
    <x v="1"/>
    <x v="0"/>
    <x v="0"/>
    <x v="0"/>
    <x v="8"/>
    <x v="1"/>
    <x v="8"/>
    <x v="1"/>
  </r>
  <r>
    <x v="1521"/>
    <x v="5"/>
    <x v="12"/>
    <x v="322"/>
    <n v="241.2"/>
    <x v="56"/>
    <d v="2025-02-26T00:00:00"/>
    <x v="1"/>
    <x v="0"/>
    <x v="2"/>
    <x v="0"/>
    <x v="8"/>
    <x v="7"/>
    <x v="8"/>
    <x v="1"/>
  </r>
  <r>
    <x v="1522"/>
    <x v="5"/>
    <x v="1"/>
    <x v="778"/>
    <n v="248.2"/>
    <x v="56"/>
    <d v="2025-03-01T00:00:00"/>
    <x v="2"/>
    <x v="0"/>
    <x v="2"/>
    <x v="0"/>
    <x v="8"/>
    <x v="2"/>
    <x v="8"/>
    <x v="2"/>
  </r>
  <r>
    <x v="1523"/>
    <x v="16"/>
    <x v="3"/>
    <x v="779"/>
    <n v="462"/>
    <x v="56"/>
    <d v="2025-02-26T00:00:00"/>
    <x v="0"/>
    <x v="3"/>
    <x v="0"/>
    <x v="0"/>
    <x v="17"/>
    <x v="7"/>
    <x v="8"/>
    <x v="0"/>
  </r>
  <r>
    <x v="1524"/>
    <x v="2"/>
    <x v="42"/>
    <x v="537"/>
    <n v="7446.6"/>
    <x v="56"/>
    <d v="2025-03-03T00:00:00"/>
    <x v="0"/>
    <x v="0"/>
    <x v="0"/>
    <x v="0"/>
    <x v="17"/>
    <x v="0"/>
    <x v="8"/>
    <x v="0"/>
  </r>
  <r>
    <x v="1525"/>
    <x v="5"/>
    <x v="9"/>
    <x v="780"/>
    <n v="321.5"/>
    <x v="56"/>
    <d v="2025-02-27T00:00:00"/>
    <x v="1"/>
    <x v="4"/>
    <x v="4"/>
    <x v="0"/>
    <x v="26"/>
    <x v="3"/>
    <x v="8"/>
    <x v="1"/>
  </r>
  <r>
    <x v="1526"/>
    <x v="1"/>
    <x v="1"/>
    <x v="76"/>
    <n v="109.6"/>
    <x v="56"/>
    <d v="2025-02-26T00:00:00"/>
    <x v="1"/>
    <x v="0"/>
    <x v="1"/>
    <x v="0"/>
    <x v="26"/>
    <x v="7"/>
    <x v="8"/>
    <x v="1"/>
  </r>
  <r>
    <x v="1527"/>
    <x v="7"/>
    <x v="1"/>
    <x v="716"/>
    <n v="157.19999999999999"/>
    <x v="56"/>
    <d v="2025-02-27T00:00:00"/>
    <x v="1"/>
    <x v="0"/>
    <x v="2"/>
    <x v="0"/>
    <x v="9"/>
    <x v="3"/>
    <x v="8"/>
    <x v="1"/>
  </r>
  <r>
    <x v="1528"/>
    <x v="2"/>
    <x v="9"/>
    <x v="781"/>
    <n v="792.5"/>
    <x v="56"/>
    <d v="2025-02-28T00:00:00"/>
    <x v="0"/>
    <x v="2"/>
    <x v="2"/>
    <x v="0"/>
    <x v="9"/>
    <x v="1"/>
    <x v="8"/>
    <x v="0"/>
  </r>
  <r>
    <x v="1529"/>
    <x v="4"/>
    <x v="7"/>
    <x v="234"/>
    <n v="235"/>
    <x v="56"/>
    <d v="2025-03-01T00:00:00"/>
    <x v="1"/>
    <x v="0"/>
    <x v="4"/>
    <x v="0"/>
    <x v="10"/>
    <x v="2"/>
    <x v="8"/>
    <x v="1"/>
  </r>
  <r>
    <x v="1530"/>
    <x v="5"/>
    <x v="1"/>
    <x v="201"/>
    <n v="64.2"/>
    <x v="56"/>
    <d v="2025-02-28T00:00:00"/>
    <x v="0"/>
    <x v="3"/>
    <x v="0"/>
    <x v="0"/>
    <x v="10"/>
    <x v="1"/>
    <x v="8"/>
    <x v="0"/>
  </r>
  <r>
    <x v="1531"/>
    <x v="17"/>
    <x v="12"/>
    <x v="774"/>
    <n v="287.60000000000002"/>
    <x v="56"/>
    <d v="2025-02-26T00:00:00"/>
    <x v="1"/>
    <x v="2"/>
    <x v="0"/>
    <x v="0"/>
    <x v="19"/>
    <x v="7"/>
    <x v="8"/>
    <x v="1"/>
  </r>
  <r>
    <x v="1532"/>
    <x v="4"/>
    <x v="13"/>
    <x v="208"/>
    <n v="133.80000000000001"/>
    <x v="56"/>
    <d v="2025-02-27T00:00:00"/>
    <x v="0"/>
    <x v="3"/>
    <x v="2"/>
    <x v="0"/>
    <x v="13"/>
    <x v="3"/>
    <x v="8"/>
    <x v="0"/>
  </r>
  <r>
    <x v="1533"/>
    <x v="11"/>
    <x v="1"/>
    <x v="669"/>
    <n v="59"/>
    <x v="56"/>
    <d v="2025-02-27T00:00:00"/>
    <x v="2"/>
    <x v="0"/>
    <x v="2"/>
    <x v="0"/>
    <x v="13"/>
    <x v="3"/>
    <x v="8"/>
    <x v="2"/>
  </r>
  <r>
    <x v="1534"/>
    <x v="6"/>
    <x v="12"/>
    <x v="245"/>
    <n v="167.6"/>
    <x v="56"/>
    <d v="2025-03-02T00:00:00"/>
    <x v="2"/>
    <x v="0"/>
    <x v="1"/>
    <x v="0"/>
    <x v="21"/>
    <x v="5"/>
    <x v="8"/>
    <x v="2"/>
  </r>
  <r>
    <x v="1535"/>
    <x v="6"/>
    <x v="2"/>
    <x v="782"/>
    <n v="323.39999999999998"/>
    <x v="56"/>
    <d v="2025-02-27T00:00:00"/>
    <x v="1"/>
    <x v="1"/>
    <x v="2"/>
    <x v="0"/>
    <x v="46"/>
    <x v="3"/>
    <x v="8"/>
    <x v="1"/>
  </r>
  <r>
    <x v="1536"/>
    <x v="4"/>
    <x v="9"/>
    <x v="606"/>
    <n v="90.5"/>
    <x v="56"/>
    <d v="2025-03-01T00:00:00"/>
    <x v="1"/>
    <x v="0"/>
    <x v="2"/>
    <x v="0"/>
    <x v="2"/>
    <x v="2"/>
    <x v="8"/>
    <x v="1"/>
  </r>
  <r>
    <x v="1537"/>
    <x v="12"/>
    <x v="11"/>
    <x v="304"/>
    <n v="718.19999999999993"/>
    <x v="56"/>
    <d v="2025-02-27T00:00:00"/>
    <x v="2"/>
    <x v="1"/>
    <x v="1"/>
    <x v="0"/>
    <x v="22"/>
    <x v="3"/>
    <x v="8"/>
    <x v="2"/>
  </r>
  <r>
    <x v="1538"/>
    <x v="0"/>
    <x v="2"/>
    <x v="208"/>
    <n v="66.900000000000006"/>
    <x v="56"/>
    <d v="2025-03-01T00:00:00"/>
    <x v="2"/>
    <x v="0"/>
    <x v="2"/>
    <x v="0"/>
    <x v="22"/>
    <x v="2"/>
    <x v="8"/>
    <x v="2"/>
  </r>
  <r>
    <x v="1539"/>
    <x v="8"/>
    <x v="0"/>
    <x v="409"/>
    <n v="22.9"/>
    <x v="56"/>
    <d v="2025-02-26T00:00:00"/>
    <x v="2"/>
    <x v="1"/>
    <x v="0"/>
    <x v="0"/>
    <x v="22"/>
    <x v="7"/>
    <x v="8"/>
    <x v="2"/>
  </r>
  <r>
    <x v="1540"/>
    <x v="0"/>
    <x v="2"/>
    <x v="261"/>
    <n v="48.599999999999994"/>
    <x v="57"/>
    <d v="2025-02-27T00:00:00"/>
    <x v="1"/>
    <x v="4"/>
    <x v="2"/>
    <x v="0"/>
    <x v="3"/>
    <x v="7"/>
    <x v="8"/>
    <x v="1"/>
  </r>
  <r>
    <x v="1541"/>
    <x v="10"/>
    <x v="12"/>
    <x v="233"/>
    <n v="238"/>
    <x v="57"/>
    <d v="2025-02-28T00:00:00"/>
    <x v="1"/>
    <x v="1"/>
    <x v="2"/>
    <x v="0"/>
    <x v="3"/>
    <x v="3"/>
    <x v="8"/>
    <x v="1"/>
  </r>
  <r>
    <x v="1542"/>
    <x v="18"/>
    <x v="9"/>
    <x v="457"/>
    <n v="131"/>
    <x v="57"/>
    <d v="2025-03-02T00:00:00"/>
    <x v="1"/>
    <x v="3"/>
    <x v="4"/>
    <x v="0"/>
    <x v="3"/>
    <x v="2"/>
    <x v="8"/>
    <x v="1"/>
  </r>
  <r>
    <x v="1543"/>
    <x v="3"/>
    <x v="0"/>
    <x v="236"/>
    <n v="44.2"/>
    <x v="57"/>
    <d v="2025-03-02T00:00:00"/>
    <x v="2"/>
    <x v="1"/>
    <x v="0"/>
    <x v="0"/>
    <x v="3"/>
    <x v="2"/>
    <x v="8"/>
    <x v="2"/>
  </r>
  <r>
    <x v="1544"/>
    <x v="9"/>
    <x v="1"/>
    <x v="737"/>
    <n v="118.4"/>
    <x v="57"/>
    <d v="2025-02-27T00:00:00"/>
    <x v="2"/>
    <x v="1"/>
    <x v="4"/>
    <x v="0"/>
    <x v="3"/>
    <x v="7"/>
    <x v="8"/>
    <x v="2"/>
  </r>
  <r>
    <x v="1545"/>
    <x v="15"/>
    <x v="12"/>
    <x v="329"/>
    <n v="166"/>
    <x v="57"/>
    <d v="2025-03-01T00:00:00"/>
    <x v="2"/>
    <x v="0"/>
    <x v="0"/>
    <x v="0"/>
    <x v="16"/>
    <x v="1"/>
    <x v="8"/>
    <x v="2"/>
  </r>
  <r>
    <x v="1546"/>
    <x v="6"/>
    <x v="4"/>
    <x v="783"/>
    <n v="805.19999999999993"/>
    <x v="57"/>
    <d v="2025-03-13T00:00:00"/>
    <x v="2"/>
    <x v="0"/>
    <x v="2"/>
    <x v="0"/>
    <x v="23"/>
    <x v="12"/>
    <x v="8"/>
    <x v="2"/>
  </r>
  <r>
    <x v="1547"/>
    <x v="8"/>
    <x v="1"/>
    <x v="167"/>
    <n v="57.4"/>
    <x v="57"/>
    <d v="2025-03-03T00:00:00"/>
    <x v="2"/>
    <x v="1"/>
    <x v="0"/>
    <x v="0"/>
    <x v="6"/>
    <x v="5"/>
    <x v="8"/>
    <x v="2"/>
  </r>
  <r>
    <x v="1548"/>
    <x v="2"/>
    <x v="12"/>
    <x v="784"/>
    <n v="528.4"/>
    <x v="57"/>
    <d v="2025-02-28T00:00:00"/>
    <x v="2"/>
    <x v="0"/>
    <x v="1"/>
    <x v="0"/>
    <x v="6"/>
    <x v="3"/>
    <x v="8"/>
    <x v="2"/>
  </r>
  <r>
    <x v="1549"/>
    <x v="18"/>
    <x v="1"/>
    <x v="642"/>
    <n v="94"/>
    <x v="57"/>
    <d v="2025-03-01T00:00:00"/>
    <x v="1"/>
    <x v="4"/>
    <x v="0"/>
    <x v="0"/>
    <x v="8"/>
    <x v="1"/>
    <x v="8"/>
    <x v="1"/>
  </r>
  <r>
    <x v="1550"/>
    <x v="8"/>
    <x v="1"/>
    <x v="654"/>
    <n v="83.2"/>
    <x v="57"/>
    <d v="2025-03-03T00:00:00"/>
    <x v="1"/>
    <x v="1"/>
    <x v="2"/>
    <x v="0"/>
    <x v="8"/>
    <x v="5"/>
    <x v="8"/>
    <x v="1"/>
  </r>
  <r>
    <x v="1551"/>
    <x v="8"/>
    <x v="43"/>
    <x v="161"/>
    <n v="657.4"/>
    <x v="57"/>
    <d v="2025-03-01T00:00:00"/>
    <x v="1"/>
    <x v="2"/>
    <x v="2"/>
    <x v="0"/>
    <x v="8"/>
    <x v="1"/>
    <x v="8"/>
    <x v="1"/>
  </r>
  <r>
    <x v="1552"/>
    <x v="13"/>
    <x v="2"/>
    <x v="80"/>
    <n v="125.39999999999999"/>
    <x v="57"/>
    <d v="2025-03-02T00:00:00"/>
    <x v="1"/>
    <x v="0"/>
    <x v="2"/>
    <x v="0"/>
    <x v="8"/>
    <x v="2"/>
    <x v="8"/>
    <x v="1"/>
  </r>
  <r>
    <x v="1553"/>
    <x v="10"/>
    <x v="0"/>
    <x v="209"/>
    <n v="24"/>
    <x v="57"/>
    <d v="2025-02-28T00:00:00"/>
    <x v="2"/>
    <x v="0"/>
    <x v="0"/>
    <x v="0"/>
    <x v="17"/>
    <x v="3"/>
    <x v="8"/>
    <x v="2"/>
  </r>
  <r>
    <x v="1554"/>
    <x v="14"/>
    <x v="11"/>
    <x v="99"/>
    <n v="166.5"/>
    <x v="57"/>
    <d v="2025-03-01T00:00:00"/>
    <x v="2"/>
    <x v="0"/>
    <x v="0"/>
    <x v="0"/>
    <x v="9"/>
    <x v="1"/>
    <x v="8"/>
    <x v="2"/>
  </r>
  <r>
    <x v="1555"/>
    <x v="3"/>
    <x v="4"/>
    <x v="14"/>
    <n v="800.40000000000009"/>
    <x v="57"/>
    <d v="2025-03-02T00:00:00"/>
    <x v="0"/>
    <x v="0"/>
    <x v="2"/>
    <x v="0"/>
    <x v="11"/>
    <x v="2"/>
    <x v="8"/>
    <x v="0"/>
  </r>
  <r>
    <x v="1556"/>
    <x v="1"/>
    <x v="12"/>
    <x v="199"/>
    <n v="132.4"/>
    <x v="57"/>
    <d v="2025-03-04T00:00:00"/>
    <x v="1"/>
    <x v="3"/>
    <x v="0"/>
    <x v="0"/>
    <x v="11"/>
    <x v="0"/>
    <x v="8"/>
    <x v="1"/>
  </r>
  <r>
    <x v="1557"/>
    <x v="19"/>
    <x v="11"/>
    <x v="624"/>
    <n v="378.90000000000003"/>
    <x v="57"/>
    <d v="2025-03-10T00:00:00"/>
    <x v="1"/>
    <x v="1"/>
    <x v="0"/>
    <x v="0"/>
    <x v="18"/>
    <x v="11"/>
    <x v="8"/>
    <x v="1"/>
  </r>
  <r>
    <x v="1558"/>
    <x v="18"/>
    <x v="3"/>
    <x v="785"/>
    <n v="410.90000000000003"/>
    <x v="57"/>
    <d v="2025-02-27T00:00:00"/>
    <x v="3"/>
    <x v="3"/>
    <x v="0"/>
    <x v="0"/>
    <x v="31"/>
    <x v="7"/>
    <x v="8"/>
    <x v="3"/>
  </r>
  <r>
    <x v="1559"/>
    <x v="6"/>
    <x v="12"/>
    <x v="641"/>
    <n v="216"/>
    <x v="57"/>
    <d v="2025-03-01T00:00:00"/>
    <x v="2"/>
    <x v="1"/>
    <x v="0"/>
    <x v="0"/>
    <x v="1"/>
    <x v="1"/>
    <x v="8"/>
    <x v="2"/>
  </r>
  <r>
    <x v="1560"/>
    <x v="8"/>
    <x v="0"/>
    <x v="184"/>
    <n v="52.1"/>
    <x v="57"/>
    <d v="2025-02-28T00:00:00"/>
    <x v="2"/>
    <x v="2"/>
    <x v="2"/>
    <x v="0"/>
    <x v="2"/>
    <x v="3"/>
    <x v="8"/>
    <x v="2"/>
  </r>
  <r>
    <x v="1561"/>
    <x v="19"/>
    <x v="1"/>
    <x v="49"/>
    <n v="54"/>
    <x v="57"/>
    <d v="2025-03-02T00:00:00"/>
    <x v="3"/>
    <x v="2"/>
    <x v="0"/>
    <x v="0"/>
    <x v="22"/>
    <x v="2"/>
    <x v="8"/>
    <x v="3"/>
  </r>
  <r>
    <x v="1562"/>
    <x v="12"/>
    <x v="7"/>
    <x v="452"/>
    <n v="310"/>
    <x v="58"/>
    <d v="2025-03-01T00:00:00"/>
    <x v="2"/>
    <x v="3"/>
    <x v="2"/>
    <x v="0"/>
    <x v="22"/>
    <x v="3"/>
    <x v="8"/>
    <x v="2"/>
  </r>
  <r>
    <x v="1563"/>
    <x v="10"/>
    <x v="1"/>
    <x v="21"/>
    <n v="93.4"/>
    <x v="58"/>
    <d v="2025-02-28T00:00:00"/>
    <x v="2"/>
    <x v="0"/>
    <x v="0"/>
    <x v="0"/>
    <x v="34"/>
    <x v="7"/>
    <x v="8"/>
    <x v="2"/>
  </r>
  <r>
    <x v="1564"/>
    <x v="6"/>
    <x v="0"/>
    <x v="786"/>
    <n v="144.69999999999999"/>
    <x v="58"/>
    <d v="2025-03-03T00:00:00"/>
    <x v="1"/>
    <x v="0"/>
    <x v="2"/>
    <x v="0"/>
    <x v="3"/>
    <x v="2"/>
    <x v="8"/>
    <x v="1"/>
  </r>
  <r>
    <x v="1565"/>
    <x v="2"/>
    <x v="11"/>
    <x v="238"/>
    <n v="818.1"/>
    <x v="58"/>
    <d v="2025-03-01T00:00:00"/>
    <x v="1"/>
    <x v="0"/>
    <x v="2"/>
    <x v="0"/>
    <x v="3"/>
    <x v="3"/>
    <x v="8"/>
    <x v="1"/>
  </r>
  <r>
    <x v="1566"/>
    <x v="1"/>
    <x v="1"/>
    <x v="124"/>
    <n v="151.6"/>
    <x v="58"/>
    <d v="2025-03-01T00:00:00"/>
    <x v="2"/>
    <x v="2"/>
    <x v="1"/>
    <x v="0"/>
    <x v="3"/>
    <x v="3"/>
    <x v="8"/>
    <x v="2"/>
  </r>
  <r>
    <x v="1567"/>
    <x v="7"/>
    <x v="9"/>
    <x v="787"/>
    <n v="289.5"/>
    <x v="58"/>
    <d v="2025-03-02T00:00:00"/>
    <x v="1"/>
    <x v="2"/>
    <x v="2"/>
    <x v="0"/>
    <x v="3"/>
    <x v="1"/>
    <x v="8"/>
    <x v="1"/>
  </r>
  <r>
    <x v="1568"/>
    <x v="8"/>
    <x v="9"/>
    <x v="788"/>
    <n v="224"/>
    <x v="58"/>
    <d v="2025-03-01T00:00:00"/>
    <x v="2"/>
    <x v="3"/>
    <x v="2"/>
    <x v="0"/>
    <x v="3"/>
    <x v="3"/>
    <x v="8"/>
    <x v="2"/>
  </r>
  <r>
    <x v="1569"/>
    <x v="9"/>
    <x v="2"/>
    <x v="236"/>
    <n v="132.60000000000002"/>
    <x v="58"/>
    <d v="2025-03-04T00:00:00"/>
    <x v="1"/>
    <x v="2"/>
    <x v="2"/>
    <x v="0"/>
    <x v="3"/>
    <x v="5"/>
    <x v="8"/>
    <x v="1"/>
  </r>
  <r>
    <x v="1570"/>
    <x v="5"/>
    <x v="9"/>
    <x v="789"/>
    <n v="267.5"/>
    <x v="58"/>
    <d v="2025-03-02T00:00:00"/>
    <x v="1"/>
    <x v="0"/>
    <x v="0"/>
    <x v="0"/>
    <x v="37"/>
    <x v="1"/>
    <x v="8"/>
    <x v="1"/>
  </r>
  <r>
    <x v="1571"/>
    <x v="6"/>
    <x v="1"/>
    <x v="489"/>
    <n v="144.4"/>
    <x v="58"/>
    <d v="2025-03-01T00:00:00"/>
    <x v="1"/>
    <x v="0"/>
    <x v="2"/>
    <x v="0"/>
    <x v="25"/>
    <x v="3"/>
    <x v="8"/>
    <x v="1"/>
  </r>
  <r>
    <x v="1572"/>
    <x v="6"/>
    <x v="12"/>
    <x v="470"/>
    <n v="249.6"/>
    <x v="58"/>
    <d v="2025-03-03T00:00:00"/>
    <x v="2"/>
    <x v="0"/>
    <x v="1"/>
    <x v="0"/>
    <x v="23"/>
    <x v="2"/>
    <x v="8"/>
    <x v="2"/>
  </r>
  <r>
    <x v="1573"/>
    <x v="10"/>
    <x v="9"/>
    <x v="605"/>
    <n v="123.5"/>
    <x v="58"/>
    <d v="2025-03-01T00:00:00"/>
    <x v="2"/>
    <x v="0"/>
    <x v="0"/>
    <x v="0"/>
    <x v="6"/>
    <x v="3"/>
    <x v="8"/>
    <x v="2"/>
  </r>
  <r>
    <x v="1574"/>
    <x v="1"/>
    <x v="9"/>
    <x v="227"/>
    <n v="308.5"/>
    <x v="58"/>
    <d v="2025-03-02T00:00:00"/>
    <x v="2"/>
    <x v="2"/>
    <x v="0"/>
    <x v="0"/>
    <x v="8"/>
    <x v="1"/>
    <x v="8"/>
    <x v="2"/>
  </r>
  <r>
    <x v="1575"/>
    <x v="8"/>
    <x v="9"/>
    <x v="762"/>
    <n v="91"/>
    <x v="58"/>
    <d v="2025-03-02T00:00:00"/>
    <x v="2"/>
    <x v="3"/>
    <x v="0"/>
    <x v="0"/>
    <x v="8"/>
    <x v="1"/>
    <x v="8"/>
    <x v="2"/>
  </r>
  <r>
    <x v="1576"/>
    <x v="10"/>
    <x v="12"/>
    <x v="790"/>
    <n v="148.80000000000001"/>
    <x v="58"/>
    <d v="2025-03-06T00:00:00"/>
    <x v="2"/>
    <x v="0"/>
    <x v="0"/>
    <x v="0"/>
    <x v="8"/>
    <x v="4"/>
    <x v="8"/>
    <x v="2"/>
  </r>
  <r>
    <x v="1577"/>
    <x v="9"/>
    <x v="2"/>
    <x v="789"/>
    <n v="160.5"/>
    <x v="58"/>
    <d v="2025-03-02T00:00:00"/>
    <x v="2"/>
    <x v="1"/>
    <x v="2"/>
    <x v="0"/>
    <x v="9"/>
    <x v="1"/>
    <x v="8"/>
    <x v="2"/>
  </r>
  <r>
    <x v="1578"/>
    <x v="8"/>
    <x v="2"/>
    <x v="458"/>
    <n v="130.80000000000001"/>
    <x v="58"/>
    <d v="2025-02-28T00:00:00"/>
    <x v="2"/>
    <x v="0"/>
    <x v="0"/>
    <x v="0"/>
    <x v="9"/>
    <x v="7"/>
    <x v="8"/>
    <x v="2"/>
  </r>
  <r>
    <x v="1579"/>
    <x v="1"/>
    <x v="7"/>
    <x v="637"/>
    <n v="1350"/>
    <x v="58"/>
    <d v="2025-03-02T00:00:00"/>
    <x v="2"/>
    <x v="0"/>
    <x v="2"/>
    <x v="0"/>
    <x v="9"/>
    <x v="1"/>
    <x v="8"/>
    <x v="2"/>
  </r>
  <r>
    <x v="1580"/>
    <x v="8"/>
    <x v="9"/>
    <x v="153"/>
    <n v="192.5"/>
    <x v="58"/>
    <d v="2025-02-28T00:00:00"/>
    <x v="1"/>
    <x v="4"/>
    <x v="2"/>
    <x v="0"/>
    <x v="10"/>
    <x v="7"/>
    <x v="8"/>
    <x v="1"/>
  </r>
  <r>
    <x v="1581"/>
    <x v="9"/>
    <x v="1"/>
    <x v="209"/>
    <n v="48"/>
    <x v="58"/>
    <d v="2025-03-05T00:00:00"/>
    <x v="2"/>
    <x v="0"/>
    <x v="0"/>
    <x v="0"/>
    <x v="11"/>
    <x v="0"/>
    <x v="8"/>
    <x v="2"/>
  </r>
  <r>
    <x v="1582"/>
    <x v="4"/>
    <x v="2"/>
    <x v="742"/>
    <n v="84.6"/>
    <x v="58"/>
    <d v="2025-03-02T00:00:00"/>
    <x v="1"/>
    <x v="0"/>
    <x v="3"/>
    <x v="0"/>
    <x v="18"/>
    <x v="1"/>
    <x v="8"/>
    <x v="1"/>
  </r>
  <r>
    <x v="1583"/>
    <x v="7"/>
    <x v="2"/>
    <x v="484"/>
    <n v="112.19999999999999"/>
    <x v="58"/>
    <d v="2025-03-01T00:00:00"/>
    <x v="2"/>
    <x v="3"/>
    <x v="0"/>
    <x v="0"/>
    <x v="1"/>
    <x v="3"/>
    <x v="8"/>
    <x v="2"/>
  </r>
  <r>
    <x v="1584"/>
    <x v="6"/>
    <x v="2"/>
    <x v="789"/>
    <n v="160.5"/>
    <x v="58"/>
    <d v="2025-03-03T00:00:00"/>
    <x v="0"/>
    <x v="4"/>
    <x v="4"/>
    <x v="0"/>
    <x v="1"/>
    <x v="2"/>
    <x v="8"/>
    <x v="0"/>
  </r>
  <r>
    <x v="1585"/>
    <x v="11"/>
    <x v="9"/>
    <x v="310"/>
    <n v="181"/>
    <x v="58"/>
    <d v="2025-03-01T00:00:00"/>
    <x v="1"/>
    <x v="1"/>
    <x v="2"/>
    <x v="0"/>
    <x v="33"/>
    <x v="3"/>
    <x v="8"/>
    <x v="1"/>
  </r>
  <r>
    <x v="1586"/>
    <x v="0"/>
    <x v="8"/>
    <x v="590"/>
    <n v="255.2"/>
    <x v="58"/>
    <d v="2025-03-01T00:00:00"/>
    <x v="2"/>
    <x v="4"/>
    <x v="0"/>
    <x v="0"/>
    <x v="3"/>
    <x v="3"/>
    <x v="8"/>
    <x v="2"/>
  </r>
  <r>
    <x v="1587"/>
    <x v="8"/>
    <x v="2"/>
    <x v="210"/>
    <n v="63.900000000000006"/>
    <x v="58"/>
    <d v="2025-03-01T00:00:00"/>
    <x v="1"/>
    <x v="0"/>
    <x v="2"/>
    <x v="0"/>
    <x v="3"/>
    <x v="3"/>
    <x v="8"/>
    <x v="1"/>
  </r>
  <r>
    <x v="1588"/>
    <x v="8"/>
    <x v="0"/>
    <x v="791"/>
    <n v="36.299999999999997"/>
    <x v="58"/>
    <d v="2025-03-02T00:00:00"/>
    <x v="3"/>
    <x v="4"/>
    <x v="0"/>
    <x v="0"/>
    <x v="3"/>
    <x v="1"/>
    <x v="8"/>
    <x v="3"/>
  </r>
  <r>
    <x v="1589"/>
    <x v="6"/>
    <x v="2"/>
    <x v="792"/>
    <n v="331.5"/>
    <x v="58"/>
    <d v="2025-03-01T00:00:00"/>
    <x v="2"/>
    <x v="0"/>
    <x v="3"/>
    <x v="0"/>
    <x v="3"/>
    <x v="3"/>
    <x v="8"/>
    <x v="2"/>
  </r>
  <r>
    <x v="1590"/>
    <x v="10"/>
    <x v="3"/>
    <x v="101"/>
    <n v="228.20000000000002"/>
    <x v="58"/>
    <d v="2025-03-02T00:00:00"/>
    <x v="2"/>
    <x v="0"/>
    <x v="1"/>
    <x v="0"/>
    <x v="3"/>
    <x v="1"/>
    <x v="8"/>
    <x v="2"/>
  </r>
  <r>
    <x v="1591"/>
    <x v="5"/>
    <x v="2"/>
    <x v="495"/>
    <n v="166.8"/>
    <x v="59"/>
    <d v="2025-03-14T00:00:00"/>
    <x v="2"/>
    <x v="0"/>
    <x v="0"/>
    <x v="0"/>
    <x v="3"/>
    <x v="10"/>
    <x v="8"/>
    <x v="2"/>
  </r>
  <r>
    <x v="1592"/>
    <x v="1"/>
    <x v="12"/>
    <x v="545"/>
    <n v="152"/>
    <x v="59"/>
    <d v="2025-03-02T00:00:00"/>
    <x v="2"/>
    <x v="3"/>
    <x v="2"/>
    <x v="0"/>
    <x v="5"/>
    <x v="3"/>
    <x v="8"/>
    <x v="2"/>
  </r>
  <r>
    <x v="1593"/>
    <x v="10"/>
    <x v="1"/>
    <x v="147"/>
    <n v="103.6"/>
    <x v="59"/>
    <d v="2025-03-07T00:00:00"/>
    <x v="1"/>
    <x v="1"/>
    <x v="4"/>
    <x v="0"/>
    <x v="6"/>
    <x v="4"/>
    <x v="8"/>
    <x v="1"/>
  </r>
  <r>
    <x v="1594"/>
    <x v="11"/>
    <x v="8"/>
    <x v="167"/>
    <n v="229.6"/>
    <x v="59"/>
    <d v="2025-03-06T00:00:00"/>
    <x v="2"/>
    <x v="0"/>
    <x v="0"/>
    <x v="0"/>
    <x v="6"/>
    <x v="0"/>
    <x v="8"/>
    <x v="2"/>
  </r>
  <r>
    <x v="1595"/>
    <x v="6"/>
    <x v="4"/>
    <x v="793"/>
    <n v="626.40000000000009"/>
    <x v="59"/>
    <d v="2025-03-01T00:00:00"/>
    <x v="1"/>
    <x v="0"/>
    <x v="1"/>
    <x v="0"/>
    <x v="6"/>
    <x v="7"/>
    <x v="8"/>
    <x v="1"/>
  </r>
  <r>
    <x v="1596"/>
    <x v="1"/>
    <x v="1"/>
    <x v="197"/>
    <n v="136.4"/>
    <x v="59"/>
    <d v="2025-03-02T00:00:00"/>
    <x v="0"/>
    <x v="2"/>
    <x v="0"/>
    <x v="0"/>
    <x v="7"/>
    <x v="3"/>
    <x v="8"/>
    <x v="0"/>
  </r>
  <r>
    <x v="1597"/>
    <x v="0"/>
    <x v="2"/>
    <x v="324"/>
    <n v="102"/>
    <x v="59"/>
    <d v="2025-03-05T00:00:00"/>
    <x v="2"/>
    <x v="0"/>
    <x v="0"/>
    <x v="0"/>
    <x v="8"/>
    <x v="5"/>
    <x v="8"/>
    <x v="2"/>
  </r>
  <r>
    <x v="1598"/>
    <x v="8"/>
    <x v="2"/>
    <x v="30"/>
    <n v="57.300000000000004"/>
    <x v="59"/>
    <d v="2025-03-02T00:00:00"/>
    <x v="2"/>
    <x v="4"/>
    <x v="0"/>
    <x v="0"/>
    <x v="8"/>
    <x v="3"/>
    <x v="8"/>
    <x v="2"/>
  </r>
  <r>
    <x v="1599"/>
    <x v="5"/>
    <x v="8"/>
    <x v="324"/>
    <n v="272"/>
    <x v="59"/>
    <d v="2025-03-09T00:00:00"/>
    <x v="2"/>
    <x v="4"/>
    <x v="0"/>
    <x v="0"/>
    <x v="8"/>
    <x v="9"/>
    <x v="8"/>
    <x v="2"/>
  </r>
  <r>
    <x v="1600"/>
    <x v="12"/>
    <x v="1"/>
    <x v="189"/>
    <n v="218.2"/>
    <x v="59"/>
    <d v="2025-03-03T00:00:00"/>
    <x v="1"/>
    <x v="0"/>
    <x v="2"/>
    <x v="0"/>
    <x v="8"/>
    <x v="1"/>
    <x v="8"/>
    <x v="1"/>
  </r>
  <r>
    <x v="1601"/>
    <x v="18"/>
    <x v="1"/>
    <x v="497"/>
    <n v="129.6"/>
    <x v="59"/>
    <d v="2025-03-03T00:00:00"/>
    <x v="1"/>
    <x v="0"/>
    <x v="2"/>
    <x v="0"/>
    <x v="8"/>
    <x v="1"/>
    <x v="8"/>
    <x v="1"/>
  </r>
  <r>
    <x v="1602"/>
    <x v="10"/>
    <x v="1"/>
    <x v="438"/>
    <n v="42.2"/>
    <x v="59"/>
    <d v="2025-03-01T00:00:00"/>
    <x v="2"/>
    <x v="1"/>
    <x v="0"/>
    <x v="0"/>
    <x v="11"/>
    <x v="7"/>
    <x v="8"/>
    <x v="2"/>
  </r>
  <r>
    <x v="1603"/>
    <x v="0"/>
    <x v="8"/>
    <x v="210"/>
    <n v="170.4"/>
    <x v="59"/>
    <d v="2025-03-03T00:00:00"/>
    <x v="1"/>
    <x v="3"/>
    <x v="1"/>
    <x v="0"/>
    <x v="18"/>
    <x v="1"/>
    <x v="8"/>
    <x v="1"/>
  </r>
  <r>
    <x v="1604"/>
    <x v="9"/>
    <x v="2"/>
    <x v="51"/>
    <n v="72.900000000000006"/>
    <x v="59"/>
    <d v="2025-03-02T00:00:00"/>
    <x v="1"/>
    <x v="1"/>
    <x v="0"/>
    <x v="0"/>
    <x v="19"/>
    <x v="3"/>
    <x v="8"/>
    <x v="1"/>
  </r>
  <r>
    <x v="1605"/>
    <x v="8"/>
    <x v="0"/>
    <x v="705"/>
    <n v="43.3"/>
    <x v="59"/>
    <d v="2025-03-05T00:00:00"/>
    <x v="1"/>
    <x v="1"/>
    <x v="1"/>
    <x v="0"/>
    <x v="13"/>
    <x v="5"/>
    <x v="8"/>
    <x v="1"/>
  </r>
  <r>
    <x v="1606"/>
    <x v="9"/>
    <x v="2"/>
    <x v="29"/>
    <n v="123"/>
    <x v="59"/>
    <d v="2025-03-02T00:00:00"/>
    <x v="2"/>
    <x v="3"/>
    <x v="4"/>
    <x v="0"/>
    <x v="21"/>
    <x v="3"/>
    <x v="8"/>
    <x v="2"/>
  </r>
  <r>
    <x v="1607"/>
    <x v="16"/>
    <x v="2"/>
    <x v="715"/>
    <n v="162.30000000000001"/>
    <x v="59"/>
    <d v="2025-03-03T00:00:00"/>
    <x v="2"/>
    <x v="4"/>
    <x v="0"/>
    <x v="0"/>
    <x v="21"/>
    <x v="1"/>
    <x v="8"/>
    <x v="2"/>
  </r>
  <r>
    <x v="1608"/>
    <x v="11"/>
    <x v="1"/>
    <x v="37"/>
    <n v="78"/>
    <x v="59"/>
    <d v="2025-03-02T00:00:00"/>
    <x v="1"/>
    <x v="1"/>
    <x v="2"/>
    <x v="0"/>
    <x v="1"/>
    <x v="3"/>
    <x v="8"/>
    <x v="1"/>
  </r>
  <r>
    <x v="1609"/>
    <x v="8"/>
    <x v="1"/>
    <x v="7"/>
    <n v="80.599999999999994"/>
    <x v="59"/>
    <d v="2025-03-03T00:00:00"/>
    <x v="1"/>
    <x v="3"/>
    <x v="0"/>
    <x v="0"/>
    <x v="27"/>
    <x v="1"/>
    <x v="8"/>
    <x v="1"/>
  </r>
  <r>
    <x v="1610"/>
    <x v="8"/>
    <x v="2"/>
    <x v="661"/>
    <n v="72.300000000000011"/>
    <x v="59"/>
    <d v="2025-03-02T00:00:00"/>
    <x v="1"/>
    <x v="0"/>
    <x v="2"/>
    <x v="0"/>
    <x v="34"/>
    <x v="3"/>
    <x v="8"/>
    <x v="1"/>
  </r>
  <r>
    <x v="1611"/>
    <x v="6"/>
    <x v="9"/>
    <x v="574"/>
    <n v="261.5"/>
    <x v="59"/>
    <d v="2025-03-02T00:00:00"/>
    <x v="1"/>
    <x v="2"/>
    <x v="0"/>
    <x v="0"/>
    <x v="3"/>
    <x v="3"/>
    <x v="8"/>
    <x v="1"/>
  </r>
  <r>
    <x v="1612"/>
    <x v="12"/>
    <x v="12"/>
    <x v="794"/>
    <n v="275.2"/>
    <x v="59"/>
    <d v="2025-03-05T00:00:00"/>
    <x v="2"/>
    <x v="4"/>
    <x v="2"/>
    <x v="0"/>
    <x v="3"/>
    <x v="5"/>
    <x v="8"/>
    <x v="2"/>
  </r>
  <r>
    <x v="1613"/>
    <x v="2"/>
    <x v="1"/>
    <x v="795"/>
    <n v="257.60000000000002"/>
    <x v="60"/>
    <d v="2025-03-05T00:00:00"/>
    <x v="2"/>
    <x v="1"/>
    <x v="1"/>
    <x v="0"/>
    <x v="3"/>
    <x v="2"/>
    <x v="9"/>
    <x v="2"/>
  </r>
  <r>
    <x v="1614"/>
    <x v="15"/>
    <x v="9"/>
    <x v="297"/>
    <n v="241"/>
    <x v="60"/>
    <d v="2025-03-04T00:00:00"/>
    <x v="2"/>
    <x v="3"/>
    <x v="0"/>
    <x v="0"/>
    <x v="3"/>
    <x v="1"/>
    <x v="9"/>
    <x v="2"/>
  </r>
  <r>
    <x v="1615"/>
    <x v="10"/>
    <x v="0"/>
    <x v="138"/>
    <n v="39.700000000000003"/>
    <x v="60"/>
    <d v="2025-03-04T00:00:00"/>
    <x v="2"/>
    <x v="0"/>
    <x v="1"/>
    <x v="0"/>
    <x v="3"/>
    <x v="1"/>
    <x v="9"/>
    <x v="2"/>
  </r>
  <r>
    <x v="1616"/>
    <x v="9"/>
    <x v="0"/>
    <x v="115"/>
    <n v="59.7"/>
    <x v="60"/>
    <d v="2025-03-05T00:00:00"/>
    <x v="2"/>
    <x v="4"/>
    <x v="0"/>
    <x v="0"/>
    <x v="3"/>
    <x v="2"/>
    <x v="9"/>
    <x v="2"/>
  </r>
  <r>
    <x v="1617"/>
    <x v="6"/>
    <x v="0"/>
    <x v="591"/>
    <n v="48.3"/>
    <x v="60"/>
    <d v="2025-03-16T00:00:00"/>
    <x v="3"/>
    <x v="0"/>
    <x v="2"/>
    <x v="0"/>
    <x v="3"/>
    <x v="12"/>
    <x v="9"/>
    <x v="3"/>
  </r>
  <r>
    <x v="1618"/>
    <x v="8"/>
    <x v="2"/>
    <x v="600"/>
    <n v="136.5"/>
    <x v="60"/>
    <d v="2025-03-04T00:00:00"/>
    <x v="1"/>
    <x v="2"/>
    <x v="1"/>
    <x v="0"/>
    <x v="3"/>
    <x v="1"/>
    <x v="9"/>
    <x v="1"/>
  </r>
  <r>
    <x v="1619"/>
    <x v="9"/>
    <x v="6"/>
    <x v="707"/>
    <n v="1377"/>
    <x v="60"/>
    <d v="2025-03-02T00:00:00"/>
    <x v="2"/>
    <x v="2"/>
    <x v="0"/>
    <x v="0"/>
    <x v="3"/>
    <x v="7"/>
    <x v="9"/>
    <x v="2"/>
  </r>
  <r>
    <x v="1620"/>
    <x v="4"/>
    <x v="13"/>
    <x v="293"/>
    <n v="122.39999999999999"/>
    <x v="60"/>
    <d v="2025-03-03T00:00:00"/>
    <x v="1"/>
    <x v="2"/>
    <x v="0"/>
    <x v="0"/>
    <x v="3"/>
    <x v="3"/>
    <x v="9"/>
    <x v="1"/>
  </r>
  <r>
    <x v="1621"/>
    <x v="10"/>
    <x v="1"/>
    <x v="248"/>
    <n v="60.8"/>
    <x v="60"/>
    <d v="2025-03-04T00:00:00"/>
    <x v="1"/>
    <x v="2"/>
    <x v="0"/>
    <x v="0"/>
    <x v="3"/>
    <x v="1"/>
    <x v="9"/>
    <x v="1"/>
  </r>
  <r>
    <x v="1622"/>
    <x v="7"/>
    <x v="1"/>
    <x v="674"/>
    <n v="143"/>
    <x v="60"/>
    <d v="2025-03-06T00:00:00"/>
    <x v="2"/>
    <x v="0"/>
    <x v="0"/>
    <x v="0"/>
    <x v="3"/>
    <x v="5"/>
    <x v="9"/>
    <x v="2"/>
  </r>
  <r>
    <x v="1623"/>
    <x v="8"/>
    <x v="13"/>
    <x v="53"/>
    <n v="108"/>
    <x v="60"/>
    <d v="2025-03-03T00:00:00"/>
    <x v="3"/>
    <x v="1"/>
    <x v="2"/>
    <x v="0"/>
    <x v="6"/>
    <x v="3"/>
    <x v="9"/>
    <x v="3"/>
  </r>
  <r>
    <x v="1624"/>
    <x v="15"/>
    <x v="5"/>
    <x v="357"/>
    <n v="501.6"/>
    <x v="60"/>
    <d v="2025-03-03T00:00:00"/>
    <x v="3"/>
    <x v="1"/>
    <x v="1"/>
    <x v="0"/>
    <x v="7"/>
    <x v="3"/>
    <x v="9"/>
    <x v="3"/>
  </r>
  <r>
    <x v="1625"/>
    <x v="9"/>
    <x v="0"/>
    <x v="216"/>
    <n v="31.8"/>
    <x v="60"/>
    <d v="2025-03-06T00:00:00"/>
    <x v="2"/>
    <x v="0"/>
    <x v="2"/>
    <x v="0"/>
    <x v="7"/>
    <x v="5"/>
    <x v="9"/>
    <x v="2"/>
  </r>
  <r>
    <x v="1626"/>
    <x v="8"/>
    <x v="9"/>
    <x v="157"/>
    <n v="99.5"/>
    <x v="60"/>
    <d v="2025-03-03T00:00:00"/>
    <x v="2"/>
    <x v="1"/>
    <x v="0"/>
    <x v="0"/>
    <x v="7"/>
    <x v="3"/>
    <x v="9"/>
    <x v="2"/>
  </r>
  <r>
    <x v="1627"/>
    <x v="12"/>
    <x v="11"/>
    <x v="184"/>
    <n v="468.90000000000003"/>
    <x v="60"/>
    <d v="2025-03-04T00:00:00"/>
    <x v="1"/>
    <x v="0"/>
    <x v="0"/>
    <x v="0"/>
    <x v="8"/>
    <x v="1"/>
    <x v="9"/>
    <x v="1"/>
  </r>
  <r>
    <x v="1628"/>
    <x v="1"/>
    <x v="3"/>
    <x v="206"/>
    <n v="321.3"/>
    <x v="60"/>
    <d v="2025-03-03T00:00:00"/>
    <x v="1"/>
    <x v="0"/>
    <x v="1"/>
    <x v="0"/>
    <x v="8"/>
    <x v="3"/>
    <x v="9"/>
    <x v="1"/>
  </r>
  <r>
    <x v="1629"/>
    <x v="1"/>
    <x v="7"/>
    <x v="796"/>
    <n v="1159"/>
    <x v="60"/>
    <d v="2025-03-05T00:00:00"/>
    <x v="2"/>
    <x v="1"/>
    <x v="0"/>
    <x v="0"/>
    <x v="8"/>
    <x v="2"/>
    <x v="9"/>
    <x v="2"/>
  </r>
  <r>
    <x v="1630"/>
    <x v="6"/>
    <x v="11"/>
    <x v="797"/>
    <n v="774"/>
    <x v="60"/>
    <d v="2025-03-07T00:00:00"/>
    <x v="2"/>
    <x v="0"/>
    <x v="1"/>
    <x v="0"/>
    <x v="8"/>
    <x v="0"/>
    <x v="9"/>
    <x v="2"/>
  </r>
  <r>
    <x v="1631"/>
    <x v="7"/>
    <x v="3"/>
    <x v="508"/>
    <n v="515.19999999999993"/>
    <x v="60"/>
    <d v="2025-03-04T00:00:00"/>
    <x v="2"/>
    <x v="0"/>
    <x v="0"/>
    <x v="0"/>
    <x v="17"/>
    <x v="1"/>
    <x v="9"/>
    <x v="2"/>
  </r>
  <r>
    <x v="1632"/>
    <x v="10"/>
    <x v="2"/>
    <x v="494"/>
    <n v="80.099999999999994"/>
    <x v="60"/>
    <d v="2025-03-06T00:00:00"/>
    <x v="2"/>
    <x v="0"/>
    <x v="0"/>
    <x v="0"/>
    <x v="11"/>
    <x v="5"/>
    <x v="9"/>
    <x v="2"/>
  </r>
  <r>
    <x v="1633"/>
    <x v="8"/>
    <x v="3"/>
    <x v="594"/>
    <n v="326.2"/>
    <x v="60"/>
    <d v="2025-03-04T00:00:00"/>
    <x v="0"/>
    <x v="3"/>
    <x v="0"/>
    <x v="0"/>
    <x v="11"/>
    <x v="1"/>
    <x v="9"/>
    <x v="0"/>
  </r>
  <r>
    <x v="1634"/>
    <x v="3"/>
    <x v="2"/>
    <x v="798"/>
    <n v="253.79999999999998"/>
    <x v="60"/>
    <d v="2025-03-04T00:00:00"/>
    <x v="1"/>
    <x v="4"/>
    <x v="0"/>
    <x v="0"/>
    <x v="11"/>
    <x v="1"/>
    <x v="9"/>
    <x v="1"/>
  </r>
  <r>
    <x v="1635"/>
    <x v="7"/>
    <x v="21"/>
    <x v="329"/>
    <n v="581"/>
    <x v="60"/>
    <d v="2025-03-16T00:00:00"/>
    <x v="1"/>
    <x v="1"/>
    <x v="0"/>
    <x v="0"/>
    <x v="53"/>
    <x v="12"/>
    <x v="9"/>
    <x v="1"/>
  </r>
  <r>
    <x v="1636"/>
    <x v="8"/>
    <x v="0"/>
    <x v="413"/>
    <n v="32.799999999999997"/>
    <x v="60"/>
    <d v="2025-03-05T00:00:00"/>
    <x v="1"/>
    <x v="0"/>
    <x v="2"/>
    <x v="0"/>
    <x v="30"/>
    <x v="2"/>
    <x v="9"/>
    <x v="1"/>
  </r>
  <r>
    <x v="1637"/>
    <x v="4"/>
    <x v="3"/>
    <x v="21"/>
    <n v="326.90000000000003"/>
    <x v="60"/>
    <d v="2025-03-04T00:00:00"/>
    <x v="3"/>
    <x v="0"/>
    <x v="2"/>
    <x v="0"/>
    <x v="18"/>
    <x v="1"/>
    <x v="9"/>
    <x v="3"/>
  </r>
  <r>
    <x v="1638"/>
    <x v="15"/>
    <x v="3"/>
    <x v="65"/>
    <n v="147"/>
    <x v="60"/>
    <d v="2025-03-05T00:00:00"/>
    <x v="1"/>
    <x v="2"/>
    <x v="1"/>
    <x v="0"/>
    <x v="21"/>
    <x v="2"/>
    <x v="9"/>
    <x v="1"/>
  </r>
  <r>
    <x v="1639"/>
    <x v="5"/>
    <x v="3"/>
    <x v="647"/>
    <n v="205.79999999999998"/>
    <x v="60"/>
    <d v="2025-03-02T00:00:00"/>
    <x v="1"/>
    <x v="3"/>
    <x v="2"/>
    <x v="0"/>
    <x v="21"/>
    <x v="7"/>
    <x v="9"/>
    <x v="1"/>
  </r>
  <r>
    <x v="1640"/>
    <x v="15"/>
    <x v="1"/>
    <x v="240"/>
    <n v="64.599999999999994"/>
    <x v="60"/>
    <d v="2025-03-03T00:00:00"/>
    <x v="1"/>
    <x v="0"/>
    <x v="2"/>
    <x v="0"/>
    <x v="21"/>
    <x v="3"/>
    <x v="9"/>
    <x v="1"/>
  </r>
  <r>
    <x v="1641"/>
    <x v="6"/>
    <x v="0"/>
    <x v="567"/>
    <n v="42.2"/>
    <x v="61"/>
    <d v="2025-03-05T00:00:00"/>
    <x v="2"/>
    <x v="0"/>
    <x v="2"/>
    <x v="0"/>
    <x v="21"/>
    <x v="1"/>
    <x v="9"/>
    <x v="2"/>
  </r>
  <r>
    <x v="1642"/>
    <x v="6"/>
    <x v="0"/>
    <x v="526"/>
    <n v="53.7"/>
    <x v="61"/>
    <d v="2025-03-05T00:00:00"/>
    <x v="1"/>
    <x v="1"/>
    <x v="1"/>
    <x v="0"/>
    <x v="1"/>
    <x v="1"/>
    <x v="9"/>
    <x v="1"/>
  </r>
  <r>
    <x v="1643"/>
    <x v="2"/>
    <x v="1"/>
    <x v="799"/>
    <n v="247.8"/>
    <x v="61"/>
    <d v="2025-03-06T00:00:00"/>
    <x v="1"/>
    <x v="2"/>
    <x v="0"/>
    <x v="0"/>
    <x v="1"/>
    <x v="2"/>
    <x v="9"/>
    <x v="1"/>
  </r>
  <r>
    <x v="1644"/>
    <x v="4"/>
    <x v="2"/>
    <x v="275"/>
    <n v="107.69999999999999"/>
    <x v="61"/>
    <d v="2025-03-05T00:00:00"/>
    <x v="1"/>
    <x v="2"/>
    <x v="0"/>
    <x v="0"/>
    <x v="22"/>
    <x v="1"/>
    <x v="9"/>
    <x v="1"/>
  </r>
  <r>
    <x v="1645"/>
    <x v="4"/>
    <x v="1"/>
    <x v="174"/>
    <n v="47.2"/>
    <x v="61"/>
    <d v="2025-03-06T00:00:00"/>
    <x v="1"/>
    <x v="0"/>
    <x v="2"/>
    <x v="0"/>
    <x v="3"/>
    <x v="2"/>
    <x v="9"/>
    <x v="1"/>
  </r>
  <r>
    <x v="1646"/>
    <x v="15"/>
    <x v="36"/>
    <x v="108"/>
    <n v="1599.5"/>
    <x v="61"/>
    <d v="2025-03-04T00:00:00"/>
    <x v="1"/>
    <x v="0"/>
    <x v="1"/>
    <x v="0"/>
    <x v="3"/>
    <x v="3"/>
    <x v="9"/>
    <x v="1"/>
  </r>
  <r>
    <x v="1647"/>
    <x v="6"/>
    <x v="5"/>
    <x v="800"/>
    <n v="1301.3"/>
    <x v="61"/>
    <d v="2025-03-05T00:00:00"/>
    <x v="1"/>
    <x v="4"/>
    <x v="2"/>
    <x v="0"/>
    <x v="3"/>
    <x v="1"/>
    <x v="9"/>
    <x v="1"/>
  </r>
  <r>
    <x v="1648"/>
    <x v="19"/>
    <x v="0"/>
    <x v="307"/>
    <n v="36"/>
    <x v="61"/>
    <d v="2025-03-04T00:00:00"/>
    <x v="2"/>
    <x v="0"/>
    <x v="1"/>
    <x v="0"/>
    <x v="3"/>
    <x v="3"/>
    <x v="9"/>
    <x v="2"/>
  </r>
  <r>
    <x v="1649"/>
    <x v="8"/>
    <x v="1"/>
    <x v="719"/>
    <n v="74.2"/>
    <x v="61"/>
    <d v="2025-03-06T00:00:00"/>
    <x v="2"/>
    <x v="2"/>
    <x v="0"/>
    <x v="0"/>
    <x v="3"/>
    <x v="2"/>
    <x v="9"/>
    <x v="2"/>
  </r>
  <r>
    <x v="1650"/>
    <x v="18"/>
    <x v="2"/>
    <x v="226"/>
    <n v="135.30000000000001"/>
    <x v="61"/>
    <d v="2025-03-05T00:00:00"/>
    <x v="2"/>
    <x v="1"/>
    <x v="2"/>
    <x v="0"/>
    <x v="3"/>
    <x v="1"/>
    <x v="9"/>
    <x v="2"/>
  </r>
  <r>
    <x v="1651"/>
    <x v="5"/>
    <x v="27"/>
    <x v="430"/>
    <n v="606.4"/>
    <x v="61"/>
    <d v="2025-03-04T00:00:00"/>
    <x v="2"/>
    <x v="3"/>
    <x v="2"/>
    <x v="0"/>
    <x v="3"/>
    <x v="3"/>
    <x v="9"/>
    <x v="2"/>
  </r>
  <r>
    <x v="1652"/>
    <x v="2"/>
    <x v="1"/>
    <x v="801"/>
    <n v="243.2"/>
    <x v="61"/>
    <d v="2025-03-06T00:00:00"/>
    <x v="1"/>
    <x v="3"/>
    <x v="2"/>
    <x v="0"/>
    <x v="3"/>
    <x v="2"/>
    <x v="9"/>
    <x v="1"/>
  </r>
  <r>
    <x v="1653"/>
    <x v="5"/>
    <x v="3"/>
    <x v="751"/>
    <n v="267.40000000000003"/>
    <x v="61"/>
    <d v="2025-03-06T00:00:00"/>
    <x v="2"/>
    <x v="0"/>
    <x v="0"/>
    <x v="0"/>
    <x v="3"/>
    <x v="2"/>
    <x v="9"/>
    <x v="2"/>
  </r>
  <r>
    <x v="1654"/>
    <x v="17"/>
    <x v="1"/>
    <x v="790"/>
    <n v="74.400000000000006"/>
    <x v="61"/>
    <d v="2025-03-06T00:00:00"/>
    <x v="1"/>
    <x v="4"/>
    <x v="0"/>
    <x v="0"/>
    <x v="3"/>
    <x v="2"/>
    <x v="9"/>
    <x v="1"/>
  </r>
  <r>
    <x v="1655"/>
    <x v="2"/>
    <x v="12"/>
    <x v="802"/>
    <n v="462.8"/>
    <x v="61"/>
    <d v="2025-03-06T00:00:00"/>
    <x v="2"/>
    <x v="1"/>
    <x v="0"/>
    <x v="0"/>
    <x v="3"/>
    <x v="2"/>
    <x v="9"/>
    <x v="2"/>
  </r>
  <r>
    <x v="1656"/>
    <x v="2"/>
    <x v="13"/>
    <x v="539"/>
    <n v="596.40000000000009"/>
    <x v="61"/>
    <d v="2025-03-06T00:00:00"/>
    <x v="1"/>
    <x v="0"/>
    <x v="2"/>
    <x v="0"/>
    <x v="3"/>
    <x v="2"/>
    <x v="9"/>
    <x v="1"/>
  </r>
  <r>
    <x v="1657"/>
    <x v="11"/>
    <x v="0"/>
    <x v="26"/>
    <n v="38.700000000000003"/>
    <x v="61"/>
    <d v="2025-03-04T00:00:00"/>
    <x v="2"/>
    <x v="2"/>
    <x v="0"/>
    <x v="0"/>
    <x v="25"/>
    <x v="3"/>
    <x v="9"/>
    <x v="2"/>
  </r>
  <r>
    <x v="1658"/>
    <x v="4"/>
    <x v="1"/>
    <x v="803"/>
    <n v="71"/>
    <x v="61"/>
    <d v="2025-03-06T00:00:00"/>
    <x v="1"/>
    <x v="0"/>
    <x v="2"/>
    <x v="0"/>
    <x v="25"/>
    <x v="2"/>
    <x v="9"/>
    <x v="1"/>
  </r>
  <r>
    <x v="1659"/>
    <x v="2"/>
    <x v="12"/>
    <x v="283"/>
    <n v="373.2"/>
    <x v="61"/>
    <d v="2025-03-06T00:00:00"/>
    <x v="2"/>
    <x v="0"/>
    <x v="2"/>
    <x v="0"/>
    <x v="6"/>
    <x v="2"/>
    <x v="9"/>
    <x v="2"/>
  </r>
  <r>
    <x v="1660"/>
    <x v="16"/>
    <x v="0"/>
    <x v="541"/>
    <n v="31.4"/>
    <x v="61"/>
    <d v="2025-03-08T00:00:00"/>
    <x v="2"/>
    <x v="2"/>
    <x v="2"/>
    <x v="0"/>
    <x v="6"/>
    <x v="0"/>
    <x v="9"/>
    <x v="2"/>
  </r>
  <r>
    <x v="1661"/>
    <x v="1"/>
    <x v="0"/>
    <x v="804"/>
    <n v="85.9"/>
    <x v="61"/>
    <d v="2025-03-06T00:00:00"/>
    <x v="1"/>
    <x v="1"/>
    <x v="0"/>
    <x v="0"/>
    <x v="6"/>
    <x v="2"/>
    <x v="9"/>
    <x v="1"/>
  </r>
  <r>
    <x v="1662"/>
    <x v="6"/>
    <x v="8"/>
    <x v="52"/>
    <n v="333.6"/>
    <x v="61"/>
    <d v="2025-03-11T00:00:00"/>
    <x v="1"/>
    <x v="0"/>
    <x v="2"/>
    <x v="0"/>
    <x v="7"/>
    <x v="9"/>
    <x v="9"/>
    <x v="1"/>
  </r>
  <r>
    <x v="1663"/>
    <x v="8"/>
    <x v="12"/>
    <x v="217"/>
    <n v="126"/>
    <x v="61"/>
    <d v="2025-03-04T00:00:00"/>
    <x v="2"/>
    <x v="0"/>
    <x v="0"/>
    <x v="0"/>
    <x v="7"/>
    <x v="3"/>
    <x v="9"/>
    <x v="2"/>
  </r>
  <r>
    <x v="1664"/>
    <x v="8"/>
    <x v="1"/>
    <x v="791"/>
    <n v="72.599999999999994"/>
    <x v="61"/>
    <d v="2025-03-04T00:00:00"/>
    <x v="2"/>
    <x v="0"/>
    <x v="4"/>
    <x v="0"/>
    <x v="8"/>
    <x v="3"/>
    <x v="9"/>
    <x v="2"/>
  </r>
  <r>
    <x v="1665"/>
    <x v="8"/>
    <x v="2"/>
    <x v="172"/>
    <n v="100.19999999999999"/>
    <x v="61"/>
    <d v="2025-03-04T00:00:00"/>
    <x v="2"/>
    <x v="3"/>
    <x v="0"/>
    <x v="0"/>
    <x v="17"/>
    <x v="3"/>
    <x v="9"/>
    <x v="2"/>
  </r>
  <r>
    <x v="1666"/>
    <x v="2"/>
    <x v="2"/>
    <x v="203"/>
    <n v="195.60000000000002"/>
    <x v="61"/>
    <d v="2025-03-04T00:00:00"/>
    <x v="2"/>
    <x v="2"/>
    <x v="2"/>
    <x v="0"/>
    <x v="26"/>
    <x v="3"/>
    <x v="9"/>
    <x v="2"/>
  </r>
  <r>
    <x v="1667"/>
    <x v="8"/>
    <x v="11"/>
    <x v="313"/>
    <n v="589.5"/>
    <x v="61"/>
    <d v="2025-03-06T00:00:00"/>
    <x v="2"/>
    <x v="0"/>
    <x v="2"/>
    <x v="0"/>
    <x v="9"/>
    <x v="2"/>
    <x v="9"/>
    <x v="2"/>
  </r>
  <r>
    <x v="1668"/>
    <x v="6"/>
    <x v="2"/>
    <x v="434"/>
    <n v="158.39999999999998"/>
    <x v="61"/>
    <d v="2025-03-06T00:00:00"/>
    <x v="1"/>
    <x v="2"/>
    <x v="0"/>
    <x v="0"/>
    <x v="9"/>
    <x v="2"/>
    <x v="9"/>
    <x v="1"/>
  </r>
  <r>
    <x v="1669"/>
    <x v="9"/>
    <x v="9"/>
    <x v="209"/>
    <n v="120"/>
    <x v="61"/>
    <d v="2025-03-07T00:00:00"/>
    <x v="1"/>
    <x v="0"/>
    <x v="1"/>
    <x v="0"/>
    <x v="11"/>
    <x v="5"/>
    <x v="9"/>
    <x v="1"/>
  </r>
  <r>
    <x v="1670"/>
    <x v="3"/>
    <x v="2"/>
    <x v="440"/>
    <n v="153.60000000000002"/>
    <x v="61"/>
    <d v="2025-03-04T00:00:00"/>
    <x v="2"/>
    <x v="0"/>
    <x v="0"/>
    <x v="0"/>
    <x v="32"/>
    <x v="3"/>
    <x v="9"/>
    <x v="2"/>
  </r>
  <r>
    <x v="1671"/>
    <x v="5"/>
    <x v="2"/>
    <x v="805"/>
    <n v="84.9"/>
    <x v="61"/>
    <d v="2025-03-05T00:00:00"/>
    <x v="1"/>
    <x v="4"/>
    <x v="0"/>
    <x v="0"/>
    <x v="19"/>
    <x v="1"/>
    <x v="9"/>
    <x v="1"/>
  </r>
  <r>
    <x v="1672"/>
    <x v="6"/>
    <x v="2"/>
    <x v="318"/>
    <n v="126.89999999999999"/>
    <x v="61"/>
    <d v="2025-03-03T00:00:00"/>
    <x v="2"/>
    <x v="2"/>
    <x v="1"/>
    <x v="0"/>
    <x v="19"/>
    <x v="7"/>
    <x v="9"/>
    <x v="2"/>
  </r>
  <r>
    <x v="1673"/>
    <x v="2"/>
    <x v="8"/>
    <x v="806"/>
    <n v="1306.4000000000001"/>
    <x v="62"/>
    <d v="2025-03-05T00:00:00"/>
    <x v="2"/>
    <x v="1"/>
    <x v="0"/>
    <x v="0"/>
    <x v="13"/>
    <x v="3"/>
    <x v="9"/>
    <x v="2"/>
  </r>
  <r>
    <x v="1674"/>
    <x v="6"/>
    <x v="3"/>
    <x v="219"/>
    <n v="331.09999999999997"/>
    <x v="62"/>
    <d v="2025-03-07T00:00:00"/>
    <x v="2"/>
    <x v="4"/>
    <x v="1"/>
    <x v="0"/>
    <x v="21"/>
    <x v="2"/>
    <x v="9"/>
    <x v="2"/>
  </r>
  <r>
    <x v="1675"/>
    <x v="8"/>
    <x v="27"/>
    <x v="807"/>
    <n v="436.8"/>
    <x v="62"/>
    <d v="2025-03-05T00:00:00"/>
    <x v="2"/>
    <x v="2"/>
    <x v="0"/>
    <x v="0"/>
    <x v="21"/>
    <x v="3"/>
    <x v="9"/>
    <x v="2"/>
  </r>
  <r>
    <x v="1676"/>
    <x v="10"/>
    <x v="13"/>
    <x v="271"/>
    <n v="209.39999999999998"/>
    <x v="62"/>
    <d v="2025-03-15T00:00:00"/>
    <x v="2"/>
    <x v="0"/>
    <x v="0"/>
    <x v="0"/>
    <x v="21"/>
    <x v="11"/>
    <x v="9"/>
    <x v="2"/>
  </r>
  <r>
    <x v="1677"/>
    <x v="6"/>
    <x v="1"/>
    <x v="190"/>
    <n v="107.8"/>
    <x v="62"/>
    <d v="2025-03-07T00:00:00"/>
    <x v="3"/>
    <x v="0"/>
    <x v="4"/>
    <x v="0"/>
    <x v="1"/>
    <x v="2"/>
    <x v="9"/>
    <x v="3"/>
  </r>
  <r>
    <x v="1678"/>
    <x v="2"/>
    <x v="1"/>
    <x v="808"/>
    <n v="174.4"/>
    <x v="62"/>
    <d v="2025-03-05T00:00:00"/>
    <x v="2"/>
    <x v="0"/>
    <x v="1"/>
    <x v="0"/>
    <x v="1"/>
    <x v="3"/>
    <x v="9"/>
    <x v="2"/>
  </r>
  <r>
    <x v="1679"/>
    <x v="15"/>
    <x v="0"/>
    <x v="466"/>
    <n v="58.8"/>
    <x v="62"/>
    <d v="2025-03-06T00:00:00"/>
    <x v="2"/>
    <x v="2"/>
    <x v="0"/>
    <x v="0"/>
    <x v="44"/>
    <x v="1"/>
    <x v="9"/>
    <x v="2"/>
  </r>
  <r>
    <x v="1680"/>
    <x v="2"/>
    <x v="3"/>
    <x v="809"/>
    <n v="878.5"/>
    <x v="62"/>
    <d v="2025-03-05T00:00:00"/>
    <x v="1"/>
    <x v="2"/>
    <x v="4"/>
    <x v="0"/>
    <x v="22"/>
    <x v="3"/>
    <x v="9"/>
    <x v="1"/>
  </r>
  <r>
    <x v="1681"/>
    <x v="1"/>
    <x v="12"/>
    <x v="810"/>
    <n v="498.4"/>
    <x v="62"/>
    <d v="2025-03-06T00:00:00"/>
    <x v="2"/>
    <x v="0"/>
    <x v="1"/>
    <x v="0"/>
    <x v="22"/>
    <x v="1"/>
    <x v="9"/>
    <x v="2"/>
  </r>
  <r>
    <x v="1682"/>
    <x v="1"/>
    <x v="3"/>
    <x v="811"/>
    <n v="279.3"/>
    <x v="62"/>
    <d v="2025-03-05T00:00:00"/>
    <x v="1"/>
    <x v="2"/>
    <x v="1"/>
    <x v="0"/>
    <x v="3"/>
    <x v="3"/>
    <x v="9"/>
    <x v="1"/>
  </r>
  <r>
    <x v="1683"/>
    <x v="6"/>
    <x v="0"/>
    <x v="477"/>
    <n v="94.6"/>
    <x v="62"/>
    <d v="2025-03-18T00:00:00"/>
    <x v="2"/>
    <x v="0"/>
    <x v="1"/>
    <x v="0"/>
    <x v="3"/>
    <x v="12"/>
    <x v="9"/>
    <x v="2"/>
  </r>
  <r>
    <x v="1684"/>
    <x v="2"/>
    <x v="1"/>
    <x v="662"/>
    <n v="299.2"/>
    <x v="62"/>
    <d v="2025-03-05T00:00:00"/>
    <x v="2"/>
    <x v="0"/>
    <x v="0"/>
    <x v="0"/>
    <x v="3"/>
    <x v="3"/>
    <x v="9"/>
    <x v="2"/>
  </r>
  <r>
    <x v="1685"/>
    <x v="8"/>
    <x v="0"/>
    <x v="793"/>
    <n v="52.2"/>
    <x v="62"/>
    <d v="2025-03-05T00:00:00"/>
    <x v="0"/>
    <x v="1"/>
    <x v="0"/>
    <x v="0"/>
    <x v="3"/>
    <x v="3"/>
    <x v="9"/>
    <x v="0"/>
  </r>
  <r>
    <x v="1686"/>
    <x v="6"/>
    <x v="1"/>
    <x v="812"/>
    <n v="193"/>
    <x v="62"/>
    <d v="2025-03-05T00:00:00"/>
    <x v="2"/>
    <x v="1"/>
    <x v="1"/>
    <x v="0"/>
    <x v="3"/>
    <x v="3"/>
    <x v="9"/>
    <x v="2"/>
  </r>
  <r>
    <x v="1687"/>
    <x v="8"/>
    <x v="1"/>
    <x v="304"/>
    <n v="159.6"/>
    <x v="62"/>
    <d v="2025-03-06T00:00:00"/>
    <x v="2"/>
    <x v="0"/>
    <x v="1"/>
    <x v="0"/>
    <x v="3"/>
    <x v="1"/>
    <x v="9"/>
    <x v="2"/>
  </r>
  <r>
    <x v="1688"/>
    <x v="8"/>
    <x v="2"/>
    <x v="533"/>
    <n v="106.80000000000001"/>
    <x v="62"/>
    <d v="2025-03-05T00:00:00"/>
    <x v="2"/>
    <x v="2"/>
    <x v="0"/>
    <x v="0"/>
    <x v="3"/>
    <x v="3"/>
    <x v="9"/>
    <x v="2"/>
  </r>
  <r>
    <x v="1689"/>
    <x v="16"/>
    <x v="0"/>
    <x v="534"/>
    <n v="50.2"/>
    <x v="62"/>
    <d v="2025-03-05T00:00:00"/>
    <x v="2"/>
    <x v="1"/>
    <x v="2"/>
    <x v="0"/>
    <x v="3"/>
    <x v="3"/>
    <x v="9"/>
    <x v="2"/>
  </r>
  <r>
    <x v="1690"/>
    <x v="1"/>
    <x v="2"/>
    <x v="6"/>
    <n v="165.89999999999998"/>
    <x v="62"/>
    <d v="2025-03-07T00:00:00"/>
    <x v="2"/>
    <x v="0"/>
    <x v="4"/>
    <x v="0"/>
    <x v="40"/>
    <x v="2"/>
    <x v="9"/>
    <x v="2"/>
  </r>
  <r>
    <x v="1691"/>
    <x v="6"/>
    <x v="3"/>
    <x v="617"/>
    <n v="731.5"/>
    <x v="62"/>
    <d v="2025-03-08T00:00:00"/>
    <x v="2"/>
    <x v="1"/>
    <x v="0"/>
    <x v="0"/>
    <x v="7"/>
    <x v="5"/>
    <x v="9"/>
    <x v="2"/>
  </r>
  <r>
    <x v="1692"/>
    <x v="6"/>
    <x v="12"/>
    <x v="563"/>
    <n v="266"/>
    <x v="62"/>
    <d v="2025-03-06T00:00:00"/>
    <x v="1"/>
    <x v="1"/>
    <x v="0"/>
    <x v="0"/>
    <x v="7"/>
    <x v="1"/>
    <x v="9"/>
    <x v="1"/>
  </r>
  <r>
    <x v="1693"/>
    <x v="10"/>
    <x v="8"/>
    <x v="629"/>
    <n v="306.39999999999998"/>
    <x v="62"/>
    <d v="2025-03-05T00:00:00"/>
    <x v="2"/>
    <x v="0"/>
    <x v="0"/>
    <x v="0"/>
    <x v="7"/>
    <x v="3"/>
    <x v="9"/>
    <x v="2"/>
  </r>
  <r>
    <x v="1694"/>
    <x v="6"/>
    <x v="2"/>
    <x v="259"/>
    <n v="191.39999999999998"/>
    <x v="62"/>
    <d v="2025-03-07T00:00:00"/>
    <x v="2"/>
    <x v="1"/>
    <x v="0"/>
    <x v="0"/>
    <x v="8"/>
    <x v="2"/>
    <x v="9"/>
    <x v="2"/>
  </r>
  <r>
    <x v="1695"/>
    <x v="15"/>
    <x v="0"/>
    <x v="302"/>
    <n v="21.4"/>
    <x v="62"/>
    <d v="2025-03-04T00:00:00"/>
    <x v="1"/>
    <x v="4"/>
    <x v="0"/>
    <x v="0"/>
    <x v="8"/>
    <x v="7"/>
    <x v="9"/>
    <x v="1"/>
  </r>
  <r>
    <x v="1696"/>
    <x v="8"/>
    <x v="12"/>
    <x v="369"/>
    <n v="176.4"/>
    <x v="62"/>
    <d v="2025-03-06T00:00:00"/>
    <x v="2"/>
    <x v="2"/>
    <x v="0"/>
    <x v="0"/>
    <x v="8"/>
    <x v="1"/>
    <x v="9"/>
    <x v="2"/>
  </r>
  <r>
    <x v="1697"/>
    <x v="5"/>
    <x v="8"/>
    <x v="222"/>
    <n v="460.8"/>
    <x v="62"/>
    <d v="2025-03-06T00:00:00"/>
    <x v="1"/>
    <x v="1"/>
    <x v="2"/>
    <x v="0"/>
    <x v="8"/>
    <x v="1"/>
    <x v="9"/>
    <x v="1"/>
  </r>
  <r>
    <x v="1698"/>
    <x v="9"/>
    <x v="1"/>
    <x v="127"/>
    <n v="40.6"/>
    <x v="62"/>
    <d v="2025-03-10T00:00:00"/>
    <x v="2"/>
    <x v="3"/>
    <x v="0"/>
    <x v="0"/>
    <x v="8"/>
    <x v="4"/>
    <x v="9"/>
    <x v="2"/>
  </r>
  <r>
    <x v="1699"/>
    <x v="8"/>
    <x v="0"/>
    <x v="409"/>
    <n v="22.9"/>
    <x v="62"/>
    <d v="2025-03-06T00:00:00"/>
    <x v="2"/>
    <x v="2"/>
    <x v="2"/>
    <x v="0"/>
    <x v="8"/>
    <x v="1"/>
    <x v="9"/>
    <x v="2"/>
  </r>
  <r>
    <x v="1700"/>
    <x v="6"/>
    <x v="12"/>
    <x v="250"/>
    <n v="423.6"/>
    <x v="62"/>
    <d v="2025-03-05T00:00:00"/>
    <x v="2"/>
    <x v="1"/>
    <x v="2"/>
    <x v="0"/>
    <x v="17"/>
    <x v="3"/>
    <x v="9"/>
    <x v="2"/>
  </r>
  <r>
    <x v="1701"/>
    <x v="1"/>
    <x v="11"/>
    <x v="484"/>
    <n v="336.59999999999997"/>
    <x v="62"/>
    <d v="2025-03-08T00:00:00"/>
    <x v="1"/>
    <x v="1"/>
    <x v="0"/>
    <x v="0"/>
    <x v="11"/>
    <x v="5"/>
    <x v="9"/>
    <x v="1"/>
  </r>
  <r>
    <x v="1702"/>
    <x v="18"/>
    <x v="1"/>
    <x v="561"/>
    <n v="158"/>
    <x v="62"/>
    <d v="2025-03-05T00:00:00"/>
    <x v="1"/>
    <x v="2"/>
    <x v="0"/>
    <x v="0"/>
    <x v="28"/>
    <x v="3"/>
    <x v="9"/>
    <x v="1"/>
  </r>
  <r>
    <x v="1703"/>
    <x v="0"/>
    <x v="2"/>
    <x v="55"/>
    <n v="57.900000000000006"/>
    <x v="62"/>
    <d v="2025-03-05T00:00:00"/>
    <x v="2"/>
    <x v="4"/>
    <x v="0"/>
    <x v="0"/>
    <x v="21"/>
    <x v="3"/>
    <x v="9"/>
    <x v="2"/>
  </r>
  <r>
    <x v="1704"/>
    <x v="0"/>
    <x v="0"/>
    <x v="209"/>
    <n v="24"/>
    <x v="62"/>
    <d v="2025-03-05T00:00:00"/>
    <x v="2"/>
    <x v="1"/>
    <x v="0"/>
    <x v="0"/>
    <x v="1"/>
    <x v="3"/>
    <x v="9"/>
    <x v="2"/>
  </r>
  <r>
    <x v="1705"/>
    <x v="6"/>
    <x v="9"/>
    <x v="760"/>
    <n v="356.5"/>
    <x v="62"/>
    <d v="2025-03-07T00:00:00"/>
    <x v="2"/>
    <x v="2"/>
    <x v="0"/>
    <x v="0"/>
    <x v="2"/>
    <x v="2"/>
    <x v="9"/>
    <x v="2"/>
  </r>
  <r>
    <x v="1706"/>
    <x v="5"/>
    <x v="1"/>
    <x v="621"/>
    <n v="332.4"/>
    <x v="62"/>
    <d v="2025-03-05T00:00:00"/>
    <x v="1"/>
    <x v="0"/>
    <x v="2"/>
    <x v="0"/>
    <x v="50"/>
    <x v="3"/>
    <x v="9"/>
    <x v="1"/>
  </r>
  <r>
    <x v="1707"/>
    <x v="6"/>
    <x v="0"/>
    <x v="328"/>
    <n v="81"/>
    <x v="62"/>
    <d v="2025-03-05T00:00:00"/>
    <x v="2"/>
    <x v="2"/>
    <x v="1"/>
    <x v="0"/>
    <x v="3"/>
    <x v="3"/>
    <x v="9"/>
    <x v="2"/>
  </r>
  <r>
    <x v="1708"/>
    <x v="10"/>
    <x v="13"/>
    <x v="153"/>
    <n v="231"/>
    <x v="62"/>
    <d v="2025-03-08T00:00:00"/>
    <x v="2"/>
    <x v="0"/>
    <x v="0"/>
    <x v="0"/>
    <x v="3"/>
    <x v="5"/>
    <x v="9"/>
    <x v="2"/>
  </r>
  <r>
    <x v="1709"/>
    <x v="6"/>
    <x v="0"/>
    <x v="813"/>
    <n v="86.1"/>
    <x v="62"/>
    <d v="2025-03-06T00:00:00"/>
    <x v="2"/>
    <x v="3"/>
    <x v="0"/>
    <x v="0"/>
    <x v="3"/>
    <x v="1"/>
    <x v="9"/>
    <x v="2"/>
  </r>
  <r>
    <x v="1710"/>
    <x v="2"/>
    <x v="9"/>
    <x v="707"/>
    <n v="255"/>
    <x v="62"/>
    <d v="2025-03-05T00:00:00"/>
    <x v="1"/>
    <x v="0"/>
    <x v="1"/>
    <x v="0"/>
    <x v="3"/>
    <x v="3"/>
    <x v="9"/>
    <x v="1"/>
  </r>
  <r>
    <x v="1711"/>
    <x v="3"/>
    <x v="9"/>
    <x v="814"/>
    <n v="577"/>
    <x v="62"/>
    <d v="2025-03-05T00:00:00"/>
    <x v="1"/>
    <x v="0"/>
    <x v="0"/>
    <x v="0"/>
    <x v="3"/>
    <x v="3"/>
    <x v="9"/>
    <x v="1"/>
  </r>
  <r>
    <x v="1712"/>
    <x v="6"/>
    <x v="12"/>
    <x v="815"/>
    <n v="706"/>
    <x v="62"/>
    <d v="2025-03-05T00:00:00"/>
    <x v="2"/>
    <x v="2"/>
    <x v="2"/>
    <x v="0"/>
    <x v="3"/>
    <x v="3"/>
    <x v="9"/>
    <x v="2"/>
  </r>
  <r>
    <x v="1713"/>
    <x v="7"/>
    <x v="2"/>
    <x v="816"/>
    <n v="146.69999999999999"/>
    <x v="62"/>
    <d v="2025-03-05T00:00:00"/>
    <x v="1"/>
    <x v="4"/>
    <x v="0"/>
    <x v="0"/>
    <x v="3"/>
    <x v="3"/>
    <x v="9"/>
    <x v="1"/>
  </r>
  <r>
    <x v="1714"/>
    <x v="8"/>
    <x v="2"/>
    <x v="606"/>
    <n v="54.300000000000004"/>
    <x v="62"/>
    <d v="2025-03-11T00:00:00"/>
    <x v="2"/>
    <x v="1"/>
    <x v="2"/>
    <x v="0"/>
    <x v="29"/>
    <x v="6"/>
    <x v="9"/>
    <x v="2"/>
  </r>
  <r>
    <x v="1715"/>
    <x v="2"/>
    <x v="1"/>
    <x v="817"/>
    <n v="237"/>
    <x v="62"/>
    <d v="2025-03-07T00:00:00"/>
    <x v="1"/>
    <x v="1"/>
    <x v="2"/>
    <x v="0"/>
    <x v="16"/>
    <x v="2"/>
    <x v="9"/>
    <x v="1"/>
  </r>
  <r>
    <x v="1716"/>
    <x v="15"/>
    <x v="3"/>
    <x v="523"/>
    <n v="413.7"/>
    <x v="62"/>
    <d v="2025-03-05T00:00:00"/>
    <x v="2"/>
    <x v="3"/>
    <x v="0"/>
    <x v="0"/>
    <x v="25"/>
    <x v="3"/>
    <x v="9"/>
    <x v="2"/>
  </r>
  <r>
    <x v="1717"/>
    <x v="4"/>
    <x v="0"/>
    <x v="191"/>
    <n v="21.2"/>
    <x v="62"/>
    <d v="2025-03-05T00:00:00"/>
    <x v="2"/>
    <x v="0"/>
    <x v="1"/>
    <x v="0"/>
    <x v="6"/>
    <x v="3"/>
    <x v="9"/>
    <x v="2"/>
  </r>
  <r>
    <x v="1718"/>
    <x v="6"/>
    <x v="1"/>
    <x v="794"/>
    <n v="137.6"/>
    <x v="62"/>
    <d v="2025-03-09T00:00:00"/>
    <x v="2"/>
    <x v="3"/>
    <x v="2"/>
    <x v="0"/>
    <x v="6"/>
    <x v="0"/>
    <x v="9"/>
    <x v="2"/>
  </r>
  <r>
    <x v="1719"/>
    <x v="6"/>
    <x v="1"/>
    <x v="456"/>
    <n v="130.80000000000001"/>
    <x v="62"/>
    <d v="2025-03-08T00:00:00"/>
    <x v="2"/>
    <x v="0"/>
    <x v="0"/>
    <x v="0"/>
    <x v="6"/>
    <x v="5"/>
    <x v="9"/>
    <x v="2"/>
  </r>
  <r>
    <x v="1720"/>
    <x v="12"/>
    <x v="9"/>
    <x v="730"/>
    <n v="331.5"/>
    <x v="63"/>
    <d v="2025-03-08T00:00:00"/>
    <x v="2"/>
    <x v="4"/>
    <x v="0"/>
    <x v="0"/>
    <x v="6"/>
    <x v="2"/>
    <x v="9"/>
    <x v="2"/>
  </r>
  <r>
    <x v="1721"/>
    <x v="6"/>
    <x v="2"/>
    <x v="818"/>
    <n v="292.5"/>
    <x v="63"/>
    <d v="2025-03-05T00:00:00"/>
    <x v="1"/>
    <x v="3"/>
    <x v="0"/>
    <x v="0"/>
    <x v="8"/>
    <x v="7"/>
    <x v="9"/>
    <x v="1"/>
  </r>
  <r>
    <x v="1722"/>
    <x v="1"/>
    <x v="1"/>
    <x v="548"/>
    <n v="88"/>
    <x v="63"/>
    <d v="2025-03-08T00:00:00"/>
    <x v="2"/>
    <x v="1"/>
    <x v="2"/>
    <x v="0"/>
    <x v="8"/>
    <x v="2"/>
    <x v="9"/>
    <x v="2"/>
  </r>
  <r>
    <x v="1723"/>
    <x v="0"/>
    <x v="0"/>
    <x v="421"/>
    <n v="21.9"/>
    <x v="63"/>
    <d v="2025-03-06T00:00:00"/>
    <x v="1"/>
    <x v="0"/>
    <x v="0"/>
    <x v="0"/>
    <x v="8"/>
    <x v="3"/>
    <x v="9"/>
    <x v="1"/>
  </r>
  <r>
    <x v="1724"/>
    <x v="4"/>
    <x v="3"/>
    <x v="332"/>
    <n v="150.5"/>
    <x v="63"/>
    <d v="2025-03-07T00:00:00"/>
    <x v="2"/>
    <x v="1"/>
    <x v="2"/>
    <x v="0"/>
    <x v="9"/>
    <x v="1"/>
    <x v="9"/>
    <x v="2"/>
  </r>
  <r>
    <x v="1725"/>
    <x v="12"/>
    <x v="13"/>
    <x v="819"/>
    <n v="798"/>
    <x v="63"/>
    <d v="2025-03-06T00:00:00"/>
    <x v="3"/>
    <x v="0"/>
    <x v="2"/>
    <x v="0"/>
    <x v="10"/>
    <x v="3"/>
    <x v="9"/>
    <x v="3"/>
  </r>
  <r>
    <x v="1726"/>
    <x v="8"/>
    <x v="1"/>
    <x v="672"/>
    <n v="95.4"/>
    <x v="63"/>
    <d v="2025-03-09T00:00:00"/>
    <x v="1"/>
    <x v="0"/>
    <x v="2"/>
    <x v="0"/>
    <x v="10"/>
    <x v="5"/>
    <x v="9"/>
    <x v="1"/>
  </r>
  <r>
    <x v="1727"/>
    <x v="16"/>
    <x v="2"/>
    <x v="215"/>
    <n v="174.3"/>
    <x v="63"/>
    <d v="2025-03-06T00:00:00"/>
    <x v="2"/>
    <x v="0"/>
    <x v="0"/>
    <x v="0"/>
    <x v="11"/>
    <x v="3"/>
    <x v="9"/>
    <x v="2"/>
  </r>
  <r>
    <x v="1728"/>
    <x v="12"/>
    <x v="12"/>
    <x v="450"/>
    <n v="266.39999999999998"/>
    <x v="63"/>
    <d v="2025-03-06T00:00:00"/>
    <x v="0"/>
    <x v="0"/>
    <x v="0"/>
    <x v="0"/>
    <x v="11"/>
    <x v="3"/>
    <x v="9"/>
    <x v="0"/>
  </r>
  <r>
    <x v="1729"/>
    <x v="9"/>
    <x v="0"/>
    <x v="661"/>
    <n v="24.1"/>
    <x v="63"/>
    <d v="2025-03-08T00:00:00"/>
    <x v="1"/>
    <x v="2"/>
    <x v="1"/>
    <x v="0"/>
    <x v="19"/>
    <x v="2"/>
    <x v="9"/>
    <x v="1"/>
  </r>
  <r>
    <x v="1730"/>
    <x v="10"/>
    <x v="9"/>
    <x v="599"/>
    <n v="257.5"/>
    <x v="63"/>
    <d v="2025-03-10T00:00:00"/>
    <x v="2"/>
    <x v="0"/>
    <x v="0"/>
    <x v="0"/>
    <x v="13"/>
    <x v="0"/>
    <x v="9"/>
    <x v="2"/>
  </r>
  <r>
    <x v="1731"/>
    <x v="0"/>
    <x v="5"/>
    <x v="136"/>
    <n v="283.8"/>
    <x v="63"/>
    <d v="2025-03-09T00:00:00"/>
    <x v="2"/>
    <x v="3"/>
    <x v="4"/>
    <x v="0"/>
    <x v="21"/>
    <x v="5"/>
    <x v="9"/>
    <x v="2"/>
  </r>
  <r>
    <x v="1732"/>
    <x v="9"/>
    <x v="12"/>
    <x v="672"/>
    <n v="190.8"/>
    <x v="63"/>
    <d v="2025-03-05T00:00:00"/>
    <x v="2"/>
    <x v="0"/>
    <x v="1"/>
    <x v="0"/>
    <x v="21"/>
    <x v="7"/>
    <x v="9"/>
    <x v="2"/>
  </r>
  <r>
    <x v="1733"/>
    <x v="7"/>
    <x v="9"/>
    <x v="508"/>
    <n v="368"/>
    <x v="63"/>
    <d v="2025-03-09T00:00:00"/>
    <x v="1"/>
    <x v="1"/>
    <x v="0"/>
    <x v="0"/>
    <x v="21"/>
    <x v="5"/>
    <x v="9"/>
    <x v="1"/>
  </r>
  <r>
    <x v="1734"/>
    <x v="5"/>
    <x v="3"/>
    <x v="820"/>
    <n v="638.4"/>
    <x v="63"/>
    <d v="2025-03-06T00:00:00"/>
    <x v="1"/>
    <x v="1"/>
    <x v="2"/>
    <x v="0"/>
    <x v="21"/>
    <x v="3"/>
    <x v="9"/>
    <x v="1"/>
  </r>
  <r>
    <x v="1735"/>
    <x v="1"/>
    <x v="8"/>
    <x v="310"/>
    <n v="289.60000000000002"/>
    <x v="63"/>
    <d v="2025-03-05T00:00:00"/>
    <x v="1"/>
    <x v="2"/>
    <x v="2"/>
    <x v="0"/>
    <x v="1"/>
    <x v="7"/>
    <x v="9"/>
    <x v="1"/>
  </r>
  <r>
    <x v="1736"/>
    <x v="9"/>
    <x v="8"/>
    <x v="729"/>
    <n v="784"/>
    <x v="63"/>
    <d v="2025-03-09T00:00:00"/>
    <x v="2"/>
    <x v="2"/>
    <x v="0"/>
    <x v="0"/>
    <x v="2"/>
    <x v="5"/>
    <x v="9"/>
    <x v="2"/>
  </r>
  <r>
    <x v="1737"/>
    <x v="1"/>
    <x v="8"/>
    <x v="458"/>
    <n v="348.8"/>
    <x v="63"/>
    <d v="2025-03-06T00:00:00"/>
    <x v="2"/>
    <x v="2"/>
    <x v="0"/>
    <x v="0"/>
    <x v="22"/>
    <x v="3"/>
    <x v="9"/>
    <x v="2"/>
  </r>
  <r>
    <x v="1738"/>
    <x v="8"/>
    <x v="7"/>
    <x v="256"/>
    <n v="378"/>
    <x v="63"/>
    <d v="2025-03-05T00:00:00"/>
    <x v="3"/>
    <x v="0"/>
    <x v="0"/>
    <x v="0"/>
    <x v="50"/>
    <x v="7"/>
    <x v="9"/>
    <x v="3"/>
  </r>
  <r>
    <x v="1739"/>
    <x v="17"/>
    <x v="9"/>
    <x v="46"/>
    <n v="318.5"/>
    <x v="63"/>
    <d v="2025-03-08T00:00:00"/>
    <x v="2"/>
    <x v="2"/>
    <x v="1"/>
    <x v="0"/>
    <x v="3"/>
    <x v="2"/>
    <x v="9"/>
    <x v="2"/>
  </r>
  <r>
    <x v="1740"/>
    <x v="5"/>
    <x v="11"/>
    <x v="821"/>
    <n v="566.1"/>
    <x v="63"/>
    <d v="2025-03-10T00:00:00"/>
    <x v="1"/>
    <x v="3"/>
    <x v="2"/>
    <x v="0"/>
    <x v="3"/>
    <x v="0"/>
    <x v="9"/>
    <x v="1"/>
  </r>
  <r>
    <x v="1741"/>
    <x v="6"/>
    <x v="3"/>
    <x v="227"/>
    <n v="431.90000000000003"/>
    <x v="63"/>
    <d v="2025-03-08T00:00:00"/>
    <x v="2"/>
    <x v="2"/>
    <x v="2"/>
    <x v="0"/>
    <x v="3"/>
    <x v="2"/>
    <x v="9"/>
    <x v="2"/>
  </r>
  <r>
    <x v="1742"/>
    <x v="18"/>
    <x v="21"/>
    <x v="355"/>
    <n v="511"/>
    <x v="63"/>
    <d v="2025-03-06T00:00:00"/>
    <x v="1"/>
    <x v="0"/>
    <x v="2"/>
    <x v="0"/>
    <x v="3"/>
    <x v="3"/>
    <x v="9"/>
    <x v="1"/>
  </r>
  <r>
    <x v="1743"/>
    <x v="11"/>
    <x v="2"/>
    <x v="543"/>
    <n v="295.79999999999995"/>
    <x v="63"/>
    <d v="2025-03-08T00:00:00"/>
    <x v="3"/>
    <x v="0"/>
    <x v="4"/>
    <x v="0"/>
    <x v="3"/>
    <x v="2"/>
    <x v="9"/>
    <x v="3"/>
  </r>
  <r>
    <x v="1744"/>
    <x v="8"/>
    <x v="1"/>
    <x v="359"/>
    <n v="38.4"/>
    <x v="63"/>
    <d v="2025-03-15T00:00:00"/>
    <x v="1"/>
    <x v="0"/>
    <x v="0"/>
    <x v="0"/>
    <x v="3"/>
    <x v="14"/>
    <x v="9"/>
    <x v="1"/>
  </r>
  <r>
    <x v="1745"/>
    <x v="3"/>
    <x v="13"/>
    <x v="495"/>
    <n v="333.6"/>
    <x v="63"/>
    <d v="2025-03-09T00:00:00"/>
    <x v="2"/>
    <x v="0"/>
    <x v="2"/>
    <x v="0"/>
    <x v="3"/>
    <x v="5"/>
    <x v="9"/>
    <x v="2"/>
  </r>
  <r>
    <x v="1746"/>
    <x v="5"/>
    <x v="13"/>
    <x v="576"/>
    <n v="338.4"/>
    <x v="63"/>
    <d v="2025-03-06T00:00:00"/>
    <x v="2"/>
    <x v="1"/>
    <x v="0"/>
    <x v="0"/>
    <x v="3"/>
    <x v="3"/>
    <x v="9"/>
    <x v="2"/>
  </r>
  <r>
    <x v="1747"/>
    <x v="4"/>
    <x v="8"/>
    <x v="39"/>
    <n v="344.8"/>
    <x v="63"/>
    <d v="2025-03-09T00:00:00"/>
    <x v="2"/>
    <x v="4"/>
    <x v="0"/>
    <x v="0"/>
    <x v="3"/>
    <x v="5"/>
    <x v="9"/>
    <x v="2"/>
  </r>
  <r>
    <x v="1748"/>
    <x v="1"/>
    <x v="1"/>
    <x v="81"/>
    <n v="154.6"/>
    <x v="63"/>
    <d v="2025-03-07T00:00:00"/>
    <x v="1"/>
    <x v="0"/>
    <x v="0"/>
    <x v="0"/>
    <x v="6"/>
    <x v="1"/>
    <x v="9"/>
    <x v="1"/>
  </r>
  <r>
    <x v="1749"/>
    <x v="9"/>
    <x v="8"/>
    <x v="629"/>
    <n v="306.39999999999998"/>
    <x v="63"/>
    <d v="2025-03-06T00:00:00"/>
    <x v="1"/>
    <x v="0"/>
    <x v="0"/>
    <x v="0"/>
    <x v="7"/>
    <x v="3"/>
    <x v="9"/>
    <x v="1"/>
  </r>
  <r>
    <x v="1750"/>
    <x v="0"/>
    <x v="3"/>
    <x v="384"/>
    <n v="117.60000000000001"/>
    <x v="63"/>
    <d v="2025-03-08T00:00:00"/>
    <x v="1"/>
    <x v="2"/>
    <x v="1"/>
    <x v="0"/>
    <x v="8"/>
    <x v="2"/>
    <x v="9"/>
    <x v="1"/>
  </r>
  <r>
    <x v="1751"/>
    <x v="2"/>
    <x v="2"/>
    <x v="56"/>
    <n v="189.60000000000002"/>
    <x v="63"/>
    <d v="2025-03-06T00:00:00"/>
    <x v="2"/>
    <x v="0"/>
    <x v="2"/>
    <x v="0"/>
    <x v="8"/>
    <x v="3"/>
    <x v="9"/>
    <x v="2"/>
  </r>
  <r>
    <x v="1752"/>
    <x v="14"/>
    <x v="44"/>
    <x v="138"/>
    <n v="913.1"/>
    <x v="63"/>
    <d v="2025-03-06T00:00:00"/>
    <x v="1"/>
    <x v="0"/>
    <x v="0"/>
    <x v="0"/>
    <x v="8"/>
    <x v="3"/>
    <x v="9"/>
    <x v="1"/>
  </r>
  <r>
    <x v="1753"/>
    <x v="10"/>
    <x v="2"/>
    <x v="511"/>
    <n v="137.39999999999998"/>
    <x v="63"/>
    <d v="2025-03-06T00:00:00"/>
    <x v="2"/>
    <x v="1"/>
    <x v="2"/>
    <x v="0"/>
    <x v="8"/>
    <x v="3"/>
    <x v="9"/>
    <x v="2"/>
  </r>
  <r>
    <x v="1754"/>
    <x v="0"/>
    <x v="13"/>
    <x v="822"/>
    <n v="74.400000000000006"/>
    <x v="63"/>
    <d v="2025-03-08T00:00:00"/>
    <x v="1"/>
    <x v="0"/>
    <x v="0"/>
    <x v="0"/>
    <x v="8"/>
    <x v="2"/>
    <x v="9"/>
    <x v="1"/>
  </r>
  <r>
    <x v="1755"/>
    <x v="14"/>
    <x v="2"/>
    <x v="179"/>
    <n v="152.39999999999998"/>
    <x v="64"/>
    <d v="2025-03-06T00:00:00"/>
    <x v="2"/>
    <x v="4"/>
    <x v="0"/>
    <x v="0"/>
    <x v="17"/>
    <x v="7"/>
    <x v="9"/>
    <x v="2"/>
  </r>
  <r>
    <x v="1756"/>
    <x v="9"/>
    <x v="0"/>
    <x v="823"/>
    <n v="76"/>
    <x v="64"/>
    <d v="2025-03-10T00:00:00"/>
    <x v="3"/>
    <x v="2"/>
    <x v="2"/>
    <x v="0"/>
    <x v="17"/>
    <x v="5"/>
    <x v="9"/>
    <x v="3"/>
  </r>
  <r>
    <x v="1757"/>
    <x v="1"/>
    <x v="1"/>
    <x v="424"/>
    <n v="103.8"/>
    <x v="64"/>
    <d v="2025-03-07T00:00:00"/>
    <x v="1"/>
    <x v="1"/>
    <x v="2"/>
    <x v="0"/>
    <x v="26"/>
    <x v="3"/>
    <x v="9"/>
    <x v="1"/>
  </r>
  <r>
    <x v="1758"/>
    <x v="2"/>
    <x v="1"/>
    <x v="824"/>
    <n v="186.8"/>
    <x v="64"/>
    <d v="2025-03-13T00:00:00"/>
    <x v="1"/>
    <x v="0"/>
    <x v="3"/>
    <x v="0"/>
    <x v="11"/>
    <x v="6"/>
    <x v="9"/>
    <x v="1"/>
  </r>
  <r>
    <x v="1759"/>
    <x v="7"/>
    <x v="13"/>
    <x v="607"/>
    <n v="184.8"/>
    <x v="64"/>
    <d v="2025-03-09T00:00:00"/>
    <x v="2"/>
    <x v="1"/>
    <x v="0"/>
    <x v="0"/>
    <x v="11"/>
    <x v="2"/>
    <x v="9"/>
    <x v="2"/>
  </r>
  <r>
    <x v="1760"/>
    <x v="2"/>
    <x v="0"/>
    <x v="825"/>
    <n v="143.19999999999999"/>
    <x v="64"/>
    <d v="2025-03-09T00:00:00"/>
    <x v="1"/>
    <x v="2"/>
    <x v="0"/>
    <x v="0"/>
    <x v="11"/>
    <x v="2"/>
    <x v="9"/>
    <x v="1"/>
  </r>
  <r>
    <x v="1761"/>
    <x v="6"/>
    <x v="5"/>
    <x v="664"/>
    <n v="444.4"/>
    <x v="64"/>
    <d v="2025-03-08T00:00:00"/>
    <x v="1"/>
    <x v="2"/>
    <x v="2"/>
    <x v="0"/>
    <x v="18"/>
    <x v="1"/>
    <x v="9"/>
    <x v="1"/>
  </r>
  <r>
    <x v="1762"/>
    <x v="2"/>
    <x v="10"/>
    <x v="177"/>
    <n v="2498.5"/>
    <x v="64"/>
    <d v="2025-03-08T00:00:00"/>
    <x v="1"/>
    <x v="1"/>
    <x v="1"/>
    <x v="0"/>
    <x v="18"/>
    <x v="1"/>
    <x v="9"/>
    <x v="1"/>
  </r>
  <r>
    <x v="1763"/>
    <x v="18"/>
    <x v="3"/>
    <x v="480"/>
    <n v="431.2"/>
    <x v="64"/>
    <d v="2025-03-07T00:00:00"/>
    <x v="1"/>
    <x v="2"/>
    <x v="0"/>
    <x v="0"/>
    <x v="21"/>
    <x v="3"/>
    <x v="9"/>
    <x v="1"/>
  </r>
  <r>
    <x v="1764"/>
    <x v="9"/>
    <x v="9"/>
    <x v="195"/>
    <n v="163.5"/>
    <x v="64"/>
    <d v="2025-03-08T00:00:00"/>
    <x v="1"/>
    <x v="2"/>
    <x v="0"/>
    <x v="0"/>
    <x v="1"/>
    <x v="1"/>
    <x v="9"/>
    <x v="1"/>
  </r>
  <r>
    <x v="1765"/>
    <x v="0"/>
    <x v="7"/>
    <x v="826"/>
    <n v="137"/>
    <x v="64"/>
    <d v="2025-03-07T00:00:00"/>
    <x v="1"/>
    <x v="0"/>
    <x v="2"/>
    <x v="0"/>
    <x v="3"/>
    <x v="3"/>
    <x v="9"/>
    <x v="1"/>
  </r>
  <r>
    <x v="1766"/>
    <x v="0"/>
    <x v="12"/>
    <x v="201"/>
    <n v="128.4"/>
    <x v="64"/>
    <d v="2025-03-07T00:00:00"/>
    <x v="1"/>
    <x v="4"/>
    <x v="1"/>
    <x v="0"/>
    <x v="3"/>
    <x v="3"/>
    <x v="9"/>
    <x v="1"/>
  </r>
  <r>
    <x v="1767"/>
    <x v="14"/>
    <x v="8"/>
    <x v="608"/>
    <n v="96"/>
    <x v="64"/>
    <d v="2025-03-07T00:00:00"/>
    <x v="1"/>
    <x v="1"/>
    <x v="0"/>
    <x v="0"/>
    <x v="24"/>
    <x v="3"/>
    <x v="9"/>
    <x v="1"/>
  </r>
  <r>
    <x v="1768"/>
    <x v="12"/>
    <x v="0"/>
    <x v="780"/>
    <n v="64.3"/>
    <x v="64"/>
    <d v="2025-03-08T00:00:00"/>
    <x v="2"/>
    <x v="2"/>
    <x v="2"/>
    <x v="0"/>
    <x v="6"/>
    <x v="1"/>
    <x v="9"/>
    <x v="2"/>
  </r>
  <r>
    <x v="1769"/>
    <x v="1"/>
    <x v="2"/>
    <x v="296"/>
    <n v="174.60000000000002"/>
    <x v="64"/>
    <d v="2025-03-08T00:00:00"/>
    <x v="2"/>
    <x v="1"/>
    <x v="2"/>
    <x v="0"/>
    <x v="6"/>
    <x v="1"/>
    <x v="9"/>
    <x v="2"/>
  </r>
  <r>
    <x v="1770"/>
    <x v="6"/>
    <x v="12"/>
    <x v="737"/>
    <n v="236.8"/>
    <x v="64"/>
    <d v="2025-03-06T00:00:00"/>
    <x v="1"/>
    <x v="1"/>
    <x v="2"/>
    <x v="0"/>
    <x v="6"/>
    <x v="7"/>
    <x v="9"/>
    <x v="1"/>
  </r>
  <r>
    <x v="1771"/>
    <x v="10"/>
    <x v="5"/>
    <x v="533"/>
    <n v="391.6"/>
    <x v="64"/>
    <d v="2025-03-13T00:00:00"/>
    <x v="1"/>
    <x v="0"/>
    <x v="2"/>
    <x v="0"/>
    <x v="8"/>
    <x v="6"/>
    <x v="9"/>
    <x v="1"/>
  </r>
  <r>
    <x v="1772"/>
    <x v="16"/>
    <x v="8"/>
    <x v="571"/>
    <n v="296"/>
    <x v="64"/>
    <d v="2025-03-10T00:00:00"/>
    <x v="2"/>
    <x v="2"/>
    <x v="1"/>
    <x v="0"/>
    <x v="8"/>
    <x v="5"/>
    <x v="9"/>
    <x v="2"/>
  </r>
  <r>
    <x v="1773"/>
    <x v="1"/>
    <x v="15"/>
    <x v="827"/>
    <n v="1050.3999999999999"/>
    <x v="64"/>
    <d v="2025-03-08T00:00:00"/>
    <x v="2"/>
    <x v="0"/>
    <x v="0"/>
    <x v="0"/>
    <x v="8"/>
    <x v="1"/>
    <x v="9"/>
    <x v="2"/>
  </r>
  <r>
    <x v="1774"/>
    <x v="8"/>
    <x v="1"/>
    <x v="56"/>
    <n v="126.4"/>
    <x v="64"/>
    <d v="2025-03-07T00:00:00"/>
    <x v="1"/>
    <x v="0"/>
    <x v="1"/>
    <x v="0"/>
    <x v="8"/>
    <x v="3"/>
    <x v="9"/>
    <x v="1"/>
  </r>
  <r>
    <x v="1775"/>
    <x v="3"/>
    <x v="1"/>
    <x v="363"/>
    <n v="81.599999999999994"/>
    <x v="64"/>
    <d v="2025-03-08T00:00:00"/>
    <x v="1"/>
    <x v="0"/>
    <x v="1"/>
    <x v="0"/>
    <x v="17"/>
    <x v="1"/>
    <x v="9"/>
    <x v="1"/>
  </r>
  <r>
    <x v="1776"/>
    <x v="13"/>
    <x v="13"/>
    <x v="679"/>
    <n v="154.19999999999999"/>
    <x v="64"/>
    <d v="2025-03-08T00:00:00"/>
    <x v="1"/>
    <x v="4"/>
    <x v="0"/>
    <x v="0"/>
    <x v="18"/>
    <x v="1"/>
    <x v="9"/>
    <x v="1"/>
  </r>
  <r>
    <x v="1777"/>
    <x v="16"/>
    <x v="1"/>
    <x v="308"/>
    <n v="99.8"/>
    <x v="64"/>
    <d v="2025-03-09T00:00:00"/>
    <x v="1"/>
    <x v="0"/>
    <x v="0"/>
    <x v="0"/>
    <x v="20"/>
    <x v="2"/>
    <x v="9"/>
    <x v="1"/>
  </r>
  <r>
    <x v="1778"/>
    <x v="8"/>
    <x v="1"/>
    <x v="736"/>
    <n v="40.4"/>
    <x v="64"/>
    <d v="2025-03-08T00:00:00"/>
    <x v="2"/>
    <x v="3"/>
    <x v="0"/>
    <x v="0"/>
    <x v="21"/>
    <x v="1"/>
    <x v="9"/>
    <x v="2"/>
  </r>
  <r>
    <x v="1779"/>
    <x v="6"/>
    <x v="2"/>
    <x v="72"/>
    <n v="145.19999999999999"/>
    <x v="64"/>
    <d v="2025-03-11T00:00:00"/>
    <x v="2"/>
    <x v="0"/>
    <x v="2"/>
    <x v="0"/>
    <x v="21"/>
    <x v="0"/>
    <x v="9"/>
    <x v="2"/>
  </r>
  <r>
    <x v="1780"/>
    <x v="6"/>
    <x v="1"/>
    <x v="328"/>
    <n v="162"/>
    <x v="64"/>
    <d v="2025-03-07T00:00:00"/>
    <x v="2"/>
    <x v="1"/>
    <x v="2"/>
    <x v="0"/>
    <x v="21"/>
    <x v="3"/>
    <x v="9"/>
    <x v="2"/>
  </r>
  <r>
    <x v="1781"/>
    <x v="8"/>
    <x v="13"/>
    <x v="157"/>
    <n v="119.39999999999999"/>
    <x v="64"/>
    <d v="2025-03-09T00:00:00"/>
    <x v="2"/>
    <x v="0"/>
    <x v="1"/>
    <x v="0"/>
    <x v="22"/>
    <x v="2"/>
    <x v="9"/>
    <x v="2"/>
  </r>
  <r>
    <x v="1782"/>
    <x v="4"/>
    <x v="12"/>
    <x v="380"/>
    <n v="128.80000000000001"/>
    <x v="64"/>
    <d v="2025-03-16T00:00:00"/>
    <x v="1"/>
    <x v="0"/>
    <x v="0"/>
    <x v="0"/>
    <x v="22"/>
    <x v="14"/>
    <x v="9"/>
    <x v="1"/>
  </r>
  <r>
    <x v="1783"/>
    <x v="5"/>
    <x v="2"/>
    <x v="828"/>
    <n v="230.39999999999998"/>
    <x v="64"/>
    <d v="2025-03-07T00:00:00"/>
    <x v="2"/>
    <x v="0"/>
    <x v="1"/>
    <x v="0"/>
    <x v="3"/>
    <x v="3"/>
    <x v="9"/>
    <x v="2"/>
  </r>
  <r>
    <x v="1784"/>
    <x v="6"/>
    <x v="1"/>
    <x v="245"/>
    <n v="83.8"/>
    <x v="64"/>
    <d v="2025-03-08T00:00:00"/>
    <x v="2"/>
    <x v="0"/>
    <x v="0"/>
    <x v="0"/>
    <x v="3"/>
    <x v="1"/>
    <x v="9"/>
    <x v="2"/>
  </r>
  <r>
    <x v="1785"/>
    <x v="0"/>
    <x v="3"/>
    <x v="324"/>
    <n v="238"/>
    <x v="64"/>
    <d v="2025-03-08T00:00:00"/>
    <x v="2"/>
    <x v="1"/>
    <x v="2"/>
    <x v="0"/>
    <x v="3"/>
    <x v="1"/>
    <x v="9"/>
    <x v="2"/>
  </r>
  <r>
    <x v="1786"/>
    <x v="7"/>
    <x v="3"/>
    <x v="148"/>
    <n v="429.09999999999997"/>
    <x v="64"/>
    <d v="2025-03-06T00:00:00"/>
    <x v="2"/>
    <x v="4"/>
    <x v="2"/>
    <x v="0"/>
    <x v="3"/>
    <x v="7"/>
    <x v="9"/>
    <x v="2"/>
  </r>
  <r>
    <x v="1787"/>
    <x v="9"/>
    <x v="0"/>
    <x v="86"/>
    <n v="54.7"/>
    <x v="65"/>
    <d v="2025-03-08T00:00:00"/>
    <x v="1"/>
    <x v="0"/>
    <x v="1"/>
    <x v="0"/>
    <x v="3"/>
    <x v="3"/>
    <x v="9"/>
    <x v="1"/>
  </r>
  <r>
    <x v="1788"/>
    <x v="6"/>
    <x v="7"/>
    <x v="288"/>
    <n v="847"/>
    <x v="65"/>
    <d v="2025-03-11T00:00:00"/>
    <x v="2"/>
    <x v="0"/>
    <x v="0"/>
    <x v="0"/>
    <x v="3"/>
    <x v="5"/>
    <x v="9"/>
    <x v="2"/>
  </r>
  <r>
    <x v="1789"/>
    <x v="1"/>
    <x v="2"/>
    <x v="824"/>
    <n v="280.20000000000005"/>
    <x v="65"/>
    <d v="2025-03-11T00:00:00"/>
    <x v="2"/>
    <x v="3"/>
    <x v="0"/>
    <x v="0"/>
    <x v="3"/>
    <x v="5"/>
    <x v="9"/>
    <x v="2"/>
  </r>
  <r>
    <x v="1790"/>
    <x v="8"/>
    <x v="9"/>
    <x v="49"/>
    <n v="135"/>
    <x v="65"/>
    <d v="2025-03-10T00:00:00"/>
    <x v="1"/>
    <x v="0"/>
    <x v="1"/>
    <x v="0"/>
    <x v="3"/>
    <x v="2"/>
    <x v="9"/>
    <x v="1"/>
  </r>
  <r>
    <x v="1791"/>
    <x v="0"/>
    <x v="12"/>
    <x v="0"/>
    <n v="43.6"/>
    <x v="65"/>
    <d v="2025-03-08T00:00:00"/>
    <x v="1"/>
    <x v="2"/>
    <x v="0"/>
    <x v="0"/>
    <x v="3"/>
    <x v="3"/>
    <x v="9"/>
    <x v="1"/>
  </r>
  <r>
    <x v="1792"/>
    <x v="16"/>
    <x v="2"/>
    <x v="196"/>
    <n v="144"/>
    <x v="65"/>
    <d v="2025-03-12T00:00:00"/>
    <x v="2"/>
    <x v="4"/>
    <x v="0"/>
    <x v="0"/>
    <x v="3"/>
    <x v="0"/>
    <x v="9"/>
    <x v="2"/>
  </r>
  <r>
    <x v="1793"/>
    <x v="5"/>
    <x v="1"/>
    <x v="469"/>
    <n v="135.80000000000001"/>
    <x v="65"/>
    <d v="2025-03-08T00:00:00"/>
    <x v="1"/>
    <x v="0"/>
    <x v="2"/>
    <x v="0"/>
    <x v="23"/>
    <x v="3"/>
    <x v="9"/>
    <x v="1"/>
  </r>
  <r>
    <x v="1794"/>
    <x v="4"/>
    <x v="2"/>
    <x v="307"/>
    <n v="108"/>
    <x v="65"/>
    <d v="2025-03-08T00:00:00"/>
    <x v="1"/>
    <x v="1"/>
    <x v="0"/>
    <x v="0"/>
    <x v="6"/>
    <x v="3"/>
    <x v="9"/>
    <x v="1"/>
  </r>
  <r>
    <x v="1795"/>
    <x v="2"/>
    <x v="0"/>
    <x v="795"/>
    <n v="128.80000000000001"/>
    <x v="65"/>
    <d v="2025-03-08T00:00:00"/>
    <x v="1"/>
    <x v="4"/>
    <x v="2"/>
    <x v="0"/>
    <x v="6"/>
    <x v="3"/>
    <x v="9"/>
    <x v="1"/>
  </r>
  <r>
    <x v="1796"/>
    <x v="18"/>
    <x v="3"/>
    <x v="57"/>
    <n v="233.09999999999997"/>
    <x v="65"/>
    <d v="2025-03-08T00:00:00"/>
    <x v="2"/>
    <x v="3"/>
    <x v="0"/>
    <x v="0"/>
    <x v="8"/>
    <x v="3"/>
    <x v="9"/>
    <x v="2"/>
  </r>
  <r>
    <x v="1797"/>
    <x v="10"/>
    <x v="2"/>
    <x v="256"/>
    <n v="113.39999999999999"/>
    <x v="65"/>
    <d v="2025-03-09T00:00:00"/>
    <x v="1"/>
    <x v="1"/>
    <x v="2"/>
    <x v="0"/>
    <x v="8"/>
    <x v="1"/>
    <x v="9"/>
    <x v="1"/>
  </r>
  <r>
    <x v="1798"/>
    <x v="5"/>
    <x v="2"/>
    <x v="269"/>
    <n v="78"/>
    <x v="65"/>
    <d v="2025-03-12T00:00:00"/>
    <x v="2"/>
    <x v="0"/>
    <x v="0"/>
    <x v="0"/>
    <x v="8"/>
    <x v="0"/>
    <x v="9"/>
    <x v="2"/>
  </r>
  <r>
    <x v="1799"/>
    <x v="8"/>
    <x v="10"/>
    <x v="805"/>
    <n v="537.70000000000005"/>
    <x v="65"/>
    <d v="2025-03-08T00:00:00"/>
    <x v="2"/>
    <x v="3"/>
    <x v="4"/>
    <x v="0"/>
    <x v="8"/>
    <x v="3"/>
    <x v="9"/>
    <x v="2"/>
  </r>
  <r>
    <x v="1800"/>
    <x v="8"/>
    <x v="12"/>
    <x v="375"/>
    <n v="125.2"/>
    <x v="65"/>
    <d v="2025-03-07T00:00:00"/>
    <x v="2"/>
    <x v="0"/>
    <x v="0"/>
    <x v="0"/>
    <x v="8"/>
    <x v="7"/>
    <x v="9"/>
    <x v="2"/>
  </r>
  <r>
    <x v="1801"/>
    <x v="7"/>
    <x v="2"/>
    <x v="181"/>
    <n v="208.5"/>
    <x v="65"/>
    <d v="2025-03-08T00:00:00"/>
    <x v="2"/>
    <x v="3"/>
    <x v="2"/>
    <x v="0"/>
    <x v="8"/>
    <x v="3"/>
    <x v="9"/>
    <x v="2"/>
  </r>
  <r>
    <x v="1802"/>
    <x v="0"/>
    <x v="1"/>
    <x v="569"/>
    <n v="33.4"/>
    <x v="65"/>
    <d v="2025-03-08T00:00:00"/>
    <x v="2"/>
    <x v="3"/>
    <x v="1"/>
    <x v="0"/>
    <x v="8"/>
    <x v="3"/>
    <x v="9"/>
    <x v="2"/>
  </r>
  <r>
    <x v="1803"/>
    <x v="9"/>
    <x v="1"/>
    <x v="829"/>
    <n v="125.2"/>
    <x v="65"/>
    <d v="2025-03-08T00:00:00"/>
    <x v="1"/>
    <x v="2"/>
    <x v="2"/>
    <x v="0"/>
    <x v="9"/>
    <x v="3"/>
    <x v="9"/>
    <x v="1"/>
  </r>
  <r>
    <x v="1804"/>
    <x v="7"/>
    <x v="0"/>
    <x v="830"/>
    <n v="81.2"/>
    <x v="65"/>
    <d v="2025-03-13T00:00:00"/>
    <x v="1"/>
    <x v="4"/>
    <x v="4"/>
    <x v="0"/>
    <x v="9"/>
    <x v="4"/>
    <x v="9"/>
    <x v="1"/>
  </r>
  <r>
    <x v="1805"/>
    <x v="0"/>
    <x v="7"/>
    <x v="335"/>
    <n v="127"/>
    <x v="65"/>
    <d v="2025-03-08T00:00:00"/>
    <x v="2"/>
    <x v="0"/>
    <x v="2"/>
    <x v="0"/>
    <x v="9"/>
    <x v="3"/>
    <x v="9"/>
    <x v="2"/>
  </r>
  <r>
    <x v="1806"/>
    <x v="7"/>
    <x v="12"/>
    <x v="777"/>
    <n v="310.8"/>
    <x v="66"/>
    <d v="2025-03-12T00:00:00"/>
    <x v="1"/>
    <x v="1"/>
    <x v="0"/>
    <x v="0"/>
    <x v="11"/>
    <x v="5"/>
    <x v="9"/>
    <x v="1"/>
  </r>
  <r>
    <x v="1807"/>
    <x v="5"/>
    <x v="1"/>
    <x v="105"/>
    <n v="74.599999999999994"/>
    <x v="66"/>
    <d v="2025-03-09T00:00:00"/>
    <x v="2"/>
    <x v="0"/>
    <x v="2"/>
    <x v="0"/>
    <x v="18"/>
    <x v="3"/>
    <x v="9"/>
    <x v="2"/>
  </r>
  <r>
    <x v="1808"/>
    <x v="10"/>
    <x v="12"/>
    <x v="533"/>
    <n v="142.4"/>
    <x v="66"/>
    <d v="2025-03-10T00:00:00"/>
    <x v="2"/>
    <x v="1"/>
    <x v="1"/>
    <x v="0"/>
    <x v="19"/>
    <x v="1"/>
    <x v="9"/>
    <x v="2"/>
  </r>
  <r>
    <x v="1809"/>
    <x v="2"/>
    <x v="2"/>
    <x v="831"/>
    <n v="285"/>
    <x v="66"/>
    <d v="2025-03-12T00:00:00"/>
    <x v="2"/>
    <x v="2"/>
    <x v="2"/>
    <x v="0"/>
    <x v="56"/>
    <x v="5"/>
    <x v="9"/>
    <x v="2"/>
  </r>
  <r>
    <x v="1810"/>
    <x v="2"/>
    <x v="12"/>
    <x v="832"/>
    <n v="688.4"/>
    <x v="66"/>
    <d v="2025-03-12T00:00:00"/>
    <x v="3"/>
    <x v="2"/>
    <x v="2"/>
    <x v="0"/>
    <x v="21"/>
    <x v="5"/>
    <x v="9"/>
    <x v="3"/>
  </r>
  <r>
    <x v="1811"/>
    <x v="2"/>
    <x v="1"/>
    <x v="833"/>
    <n v="466"/>
    <x v="66"/>
    <d v="2025-03-11T00:00:00"/>
    <x v="2"/>
    <x v="1"/>
    <x v="0"/>
    <x v="0"/>
    <x v="21"/>
    <x v="2"/>
    <x v="9"/>
    <x v="2"/>
  </r>
  <r>
    <x v="1812"/>
    <x v="0"/>
    <x v="0"/>
    <x v="347"/>
    <n v="43.5"/>
    <x v="66"/>
    <d v="2025-03-09T00:00:00"/>
    <x v="2"/>
    <x v="2"/>
    <x v="2"/>
    <x v="0"/>
    <x v="21"/>
    <x v="3"/>
    <x v="9"/>
    <x v="2"/>
  </r>
  <r>
    <x v="1813"/>
    <x v="9"/>
    <x v="1"/>
    <x v="134"/>
    <n v="95.6"/>
    <x v="66"/>
    <d v="2025-03-11T00:00:00"/>
    <x v="1"/>
    <x v="4"/>
    <x v="2"/>
    <x v="0"/>
    <x v="1"/>
    <x v="2"/>
    <x v="9"/>
    <x v="1"/>
  </r>
  <r>
    <x v="1814"/>
    <x v="12"/>
    <x v="1"/>
    <x v="834"/>
    <n v="131.6"/>
    <x v="66"/>
    <d v="2025-03-10T00:00:00"/>
    <x v="2"/>
    <x v="0"/>
    <x v="3"/>
    <x v="0"/>
    <x v="33"/>
    <x v="1"/>
    <x v="9"/>
    <x v="2"/>
  </r>
  <r>
    <x v="1815"/>
    <x v="15"/>
    <x v="5"/>
    <x v="26"/>
    <n v="425.70000000000005"/>
    <x v="66"/>
    <d v="2025-03-08T00:00:00"/>
    <x v="1"/>
    <x v="0"/>
    <x v="0"/>
    <x v="0"/>
    <x v="22"/>
    <x v="7"/>
    <x v="9"/>
    <x v="1"/>
  </r>
  <r>
    <x v="1816"/>
    <x v="3"/>
    <x v="12"/>
    <x v="740"/>
    <n v="222.8"/>
    <x v="66"/>
    <d v="2025-03-10T00:00:00"/>
    <x v="3"/>
    <x v="0"/>
    <x v="1"/>
    <x v="0"/>
    <x v="22"/>
    <x v="1"/>
    <x v="9"/>
    <x v="3"/>
  </r>
  <r>
    <x v="1817"/>
    <x v="7"/>
    <x v="1"/>
    <x v="835"/>
    <n v="204.8"/>
    <x v="66"/>
    <d v="2025-03-08T00:00:00"/>
    <x v="2"/>
    <x v="1"/>
    <x v="0"/>
    <x v="0"/>
    <x v="3"/>
    <x v="7"/>
    <x v="9"/>
    <x v="2"/>
  </r>
  <r>
    <x v="1818"/>
    <x v="1"/>
    <x v="0"/>
    <x v="116"/>
    <n v="92"/>
    <x v="66"/>
    <d v="2025-03-12T00:00:00"/>
    <x v="0"/>
    <x v="2"/>
    <x v="0"/>
    <x v="0"/>
    <x v="3"/>
    <x v="5"/>
    <x v="9"/>
    <x v="0"/>
  </r>
  <r>
    <x v="1819"/>
    <x v="6"/>
    <x v="12"/>
    <x v="836"/>
    <n v="303.60000000000002"/>
    <x v="66"/>
    <d v="2025-03-10T00:00:00"/>
    <x v="2"/>
    <x v="1"/>
    <x v="0"/>
    <x v="0"/>
    <x v="3"/>
    <x v="1"/>
    <x v="9"/>
    <x v="2"/>
  </r>
  <r>
    <x v="1820"/>
    <x v="1"/>
    <x v="12"/>
    <x v="310"/>
    <n v="144.80000000000001"/>
    <x v="66"/>
    <d v="2025-03-09T00:00:00"/>
    <x v="2"/>
    <x v="1"/>
    <x v="0"/>
    <x v="0"/>
    <x v="3"/>
    <x v="3"/>
    <x v="9"/>
    <x v="2"/>
  </r>
  <r>
    <x v="1821"/>
    <x v="6"/>
    <x v="45"/>
    <x v="5"/>
    <n v="7264.5"/>
    <x v="66"/>
    <d v="2025-03-10T00:00:00"/>
    <x v="0"/>
    <x v="3"/>
    <x v="0"/>
    <x v="0"/>
    <x v="3"/>
    <x v="1"/>
    <x v="9"/>
    <x v="0"/>
  </r>
  <r>
    <x v="1822"/>
    <x v="19"/>
    <x v="4"/>
    <x v="515"/>
    <n v="628.79999999999995"/>
    <x v="66"/>
    <d v="2025-03-08T00:00:00"/>
    <x v="1"/>
    <x v="2"/>
    <x v="0"/>
    <x v="0"/>
    <x v="3"/>
    <x v="7"/>
    <x v="9"/>
    <x v="1"/>
  </r>
  <r>
    <x v="1823"/>
    <x v="12"/>
    <x v="2"/>
    <x v="181"/>
    <n v="208.5"/>
    <x v="66"/>
    <d v="2025-03-09T00:00:00"/>
    <x v="3"/>
    <x v="4"/>
    <x v="0"/>
    <x v="0"/>
    <x v="3"/>
    <x v="3"/>
    <x v="9"/>
    <x v="3"/>
  </r>
  <r>
    <x v="1824"/>
    <x v="0"/>
    <x v="0"/>
    <x v="83"/>
    <n v="15.5"/>
    <x v="66"/>
    <d v="2025-03-10T00:00:00"/>
    <x v="1"/>
    <x v="0"/>
    <x v="0"/>
    <x v="0"/>
    <x v="3"/>
    <x v="1"/>
    <x v="9"/>
    <x v="1"/>
  </r>
  <r>
    <x v="1825"/>
    <x v="4"/>
    <x v="12"/>
    <x v="200"/>
    <n v="140.80000000000001"/>
    <x v="66"/>
    <d v="2025-03-09T00:00:00"/>
    <x v="2"/>
    <x v="2"/>
    <x v="2"/>
    <x v="0"/>
    <x v="3"/>
    <x v="3"/>
    <x v="9"/>
    <x v="2"/>
  </r>
  <r>
    <x v="1826"/>
    <x v="8"/>
    <x v="13"/>
    <x v="292"/>
    <n v="207.60000000000002"/>
    <x v="66"/>
    <d v="2025-03-09T00:00:00"/>
    <x v="0"/>
    <x v="0"/>
    <x v="1"/>
    <x v="0"/>
    <x v="3"/>
    <x v="3"/>
    <x v="9"/>
    <x v="0"/>
  </r>
  <r>
    <x v="1827"/>
    <x v="4"/>
    <x v="0"/>
    <x v="210"/>
    <n v="21.3"/>
    <x v="67"/>
    <d v="2025-03-10T00:00:00"/>
    <x v="1"/>
    <x v="2"/>
    <x v="1"/>
    <x v="0"/>
    <x v="3"/>
    <x v="3"/>
    <x v="10"/>
    <x v="1"/>
  </r>
  <r>
    <x v="1828"/>
    <x v="6"/>
    <x v="1"/>
    <x v="837"/>
    <n v="273"/>
    <x v="67"/>
    <d v="2025-03-15T00:00:00"/>
    <x v="2"/>
    <x v="0"/>
    <x v="0"/>
    <x v="0"/>
    <x v="37"/>
    <x v="4"/>
    <x v="10"/>
    <x v="2"/>
  </r>
  <r>
    <x v="1829"/>
    <x v="9"/>
    <x v="3"/>
    <x v="630"/>
    <n v="214.9"/>
    <x v="67"/>
    <d v="2025-03-10T00:00:00"/>
    <x v="1"/>
    <x v="2"/>
    <x v="2"/>
    <x v="0"/>
    <x v="25"/>
    <x v="3"/>
    <x v="10"/>
    <x v="1"/>
  </r>
  <r>
    <x v="1830"/>
    <x v="1"/>
    <x v="1"/>
    <x v="480"/>
    <n v="123.2"/>
    <x v="67"/>
    <d v="2025-03-10T00:00:00"/>
    <x v="2"/>
    <x v="2"/>
    <x v="2"/>
    <x v="0"/>
    <x v="23"/>
    <x v="3"/>
    <x v="10"/>
    <x v="2"/>
  </r>
  <r>
    <x v="1831"/>
    <x v="6"/>
    <x v="12"/>
    <x v="352"/>
    <n v="217.2"/>
    <x v="67"/>
    <d v="2025-03-11T00:00:00"/>
    <x v="0"/>
    <x v="4"/>
    <x v="0"/>
    <x v="0"/>
    <x v="7"/>
    <x v="1"/>
    <x v="10"/>
    <x v="0"/>
  </r>
  <r>
    <x v="1832"/>
    <x v="1"/>
    <x v="1"/>
    <x v="369"/>
    <n v="88.2"/>
    <x v="67"/>
    <d v="2025-03-21T00:00:00"/>
    <x v="2"/>
    <x v="0"/>
    <x v="2"/>
    <x v="0"/>
    <x v="8"/>
    <x v="13"/>
    <x v="10"/>
    <x v="2"/>
  </r>
  <r>
    <x v="1833"/>
    <x v="8"/>
    <x v="12"/>
    <x v="347"/>
    <n v="174"/>
    <x v="67"/>
    <d v="2025-03-15T00:00:00"/>
    <x v="1"/>
    <x v="3"/>
    <x v="0"/>
    <x v="0"/>
    <x v="8"/>
    <x v="4"/>
    <x v="10"/>
    <x v="1"/>
  </r>
  <r>
    <x v="1834"/>
    <x v="8"/>
    <x v="2"/>
    <x v="297"/>
    <n v="144.60000000000002"/>
    <x v="67"/>
    <d v="2025-03-13T00:00:00"/>
    <x v="1"/>
    <x v="3"/>
    <x v="1"/>
    <x v="0"/>
    <x v="8"/>
    <x v="5"/>
    <x v="10"/>
    <x v="1"/>
  </r>
  <r>
    <x v="1835"/>
    <x v="19"/>
    <x v="0"/>
    <x v="826"/>
    <n v="13.7"/>
    <x v="67"/>
    <d v="2025-03-10T00:00:00"/>
    <x v="2"/>
    <x v="2"/>
    <x v="2"/>
    <x v="0"/>
    <x v="8"/>
    <x v="3"/>
    <x v="10"/>
    <x v="2"/>
  </r>
  <r>
    <x v="1836"/>
    <x v="2"/>
    <x v="1"/>
    <x v="792"/>
    <n v="221"/>
    <x v="67"/>
    <d v="2025-03-10T00:00:00"/>
    <x v="2"/>
    <x v="0"/>
    <x v="1"/>
    <x v="0"/>
    <x v="8"/>
    <x v="3"/>
    <x v="10"/>
    <x v="2"/>
  </r>
  <r>
    <x v="1837"/>
    <x v="8"/>
    <x v="2"/>
    <x v="269"/>
    <n v="78"/>
    <x v="67"/>
    <d v="2025-03-14T00:00:00"/>
    <x v="2"/>
    <x v="1"/>
    <x v="1"/>
    <x v="0"/>
    <x v="8"/>
    <x v="0"/>
    <x v="10"/>
    <x v="2"/>
  </r>
  <r>
    <x v="1838"/>
    <x v="2"/>
    <x v="7"/>
    <x v="838"/>
    <n v="1407"/>
    <x v="67"/>
    <d v="2025-03-15T00:00:00"/>
    <x v="1"/>
    <x v="3"/>
    <x v="1"/>
    <x v="0"/>
    <x v="8"/>
    <x v="4"/>
    <x v="10"/>
    <x v="1"/>
  </r>
  <r>
    <x v="1839"/>
    <x v="17"/>
    <x v="1"/>
    <x v="52"/>
    <n v="83.4"/>
    <x v="67"/>
    <d v="2025-03-17T00:00:00"/>
    <x v="2"/>
    <x v="0"/>
    <x v="4"/>
    <x v="0"/>
    <x v="8"/>
    <x v="9"/>
    <x v="10"/>
    <x v="2"/>
  </r>
  <r>
    <x v="1840"/>
    <x v="2"/>
    <x v="1"/>
    <x v="839"/>
    <n v="270.2"/>
    <x v="67"/>
    <d v="2025-03-10T00:00:00"/>
    <x v="1"/>
    <x v="0"/>
    <x v="2"/>
    <x v="0"/>
    <x v="17"/>
    <x v="3"/>
    <x v="10"/>
    <x v="1"/>
  </r>
  <r>
    <x v="1841"/>
    <x v="12"/>
    <x v="32"/>
    <x v="840"/>
    <n v="2101"/>
    <x v="67"/>
    <d v="2025-03-10T00:00:00"/>
    <x v="2"/>
    <x v="4"/>
    <x v="4"/>
    <x v="0"/>
    <x v="26"/>
    <x v="3"/>
    <x v="10"/>
    <x v="2"/>
  </r>
  <r>
    <x v="1842"/>
    <x v="15"/>
    <x v="0"/>
    <x v="423"/>
    <n v="25.5"/>
    <x v="67"/>
    <d v="2025-03-12T00:00:00"/>
    <x v="0"/>
    <x v="2"/>
    <x v="2"/>
    <x v="0"/>
    <x v="11"/>
    <x v="2"/>
    <x v="10"/>
    <x v="0"/>
  </r>
  <r>
    <x v="1843"/>
    <x v="1"/>
    <x v="0"/>
    <x v="325"/>
    <n v="42.6"/>
    <x v="67"/>
    <d v="2025-03-13T00:00:00"/>
    <x v="2"/>
    <x v="0"/>
    <x v="0"/>
    <x v="0"/>
    <x v="11"/>
    <x v="5"/>
    <x v="10"/>
    <x v="2"/>
  </r>
  <r>
    <x v="1844"/>
    <x v="8"/>
    <x v="20"/>
    <x v="498"/>
    <n v="486"/>
    <x v="67"/>
    <d v="2025-03-10T00:00:00"/>
    <x v="1"/>
    <x v="1"/>
    <x v="1"/>
    <x v="0"/>
    <x v="11"/>
    <x v="3"/>
    <x v="10"/>
    <x v="1"/>
  </r>
  <r>
    <x v="1845"/>
    <x v="4"/>
    <x v="12"/>
    <x v="736"/>
    <n v="80.8"/>
    <x v="67"/>
    <d v="2025-03-10T00:00:00"/>
    <x v="3"/>
    <x v="2"/>
    <x v="0"/>
    <x v="0"/>
    <x v="11"/>
    <x v="3"/>
    <x v="10"/>
    <x v="3"/>
  </r>
  <r>
    <x v="1846"/>
    <x v="16"/>
    <x v="2"/>
    <x v="166"/>
    <n v="157.5"/>
    <x v="67"/>
    <d v="2025-03-14T00:00:00"/>
    <x v="2"/>
    <x v="4"/>
    <x v="0"/>
    <x v="0"/>
    <x v="18"/>
    <x v="0"/>
    <x v="10"/>
    <x v="2"/>
  </r>
  <r>
    <x v="1847"/>
    <x v="2"/>
    <x v="9"/>
    <x v="316"/>
    <n v="299.5"/>
    <x v="67"/>
    <d v="2025-03-11T00:00:00"/>
    <x v="2"/>
    <x v="2"/>
    <x v="0"/>
    <x v="0"/>
    <x v="19"/>
    <x v="1"/>
    <x v="10"/>
    <x v="2"/>
  </r>
  <r>
    <x v="1848"/>
    <x v="4"/>
    <x v="1"/>
    <x v="459"/>
    <n v="106.4"/>
    <x v="67"/>
    <d v="2025-03-10T00:00:00"/>
    <x v="2"/>
    <x v="1"/>
    <x v="3"/>
    <x v="0"/>
    <x v="20"/>
    <x v="3"/>
    <x v="10"/>
    <x v="2"/>
  </r>
  <r>
    <x v="1849"/>
    <x v="2"/>
    <x v="1"/>
    <x v="841"/>
    <n v="120"/>
    <x v="67"/>
    <d v="2025-03-15T00:00:00"/>
    <x v="1"/>
    <x v="1"/>
    <x v="2"/>
    <x v="0"/>
    <x v="20"/>
    <x v="4"/>
    <x v="10"/>
    <x v="1"/>
  </r>
  <r>
    <x v="1850"/>
    <x v="8"/>
    <x v="2"/>
    <x v="143"/>
    <n v="87.9"/>
    <x v="67"/>
    <d v="2025-03-10T00:00:00"/>
    <x v="2"/>
    <x v="4"/>
    <x v="0"/>
    <x v="0"/>
    <x v="13"/>
    <x v="3"/>
    <x v="10"/>
    <x v="2"/>
  </r>
  <r>
    <x v="1851"/>
    <x v="12"/>
    <x v="1"/>
    <x v="842"/>
    <n v="110.8"/>
    <x v="67"/>
    <d v="2025-03-10T00:00:00"/>
    <x v="2"/>
    <x v="0"/>
    <x v="2"/>
    <x v="0"/>
    <x v="21"/>
    <x v="3"/>
    <x v="10"/>
    <x v="2"/>
  </r>
  <r>
    <x v="1852"/>
    <x v="0"/>
    <x v="9"/>
    <x v="260"/>
    <n v="100.5"/>
    <x v="67"/>
    <d v="2025-03-11T00:00:00"/>
    <x v="2"/>
    <x v="1"/>
    <x v="2"/>
    <x v="0"/>
    <x v="21"/>
    <x v="1"/>
    <x v="10"/>
    <x v="2"/>
  </r>
  <r>
    <x v="1853"/>
    <x v="14"/>
    <x v="9"/>
    <x v="209"/>
    <n v="120"/>
    <x v="67"/>
    <d v="2025-03-12T00:00:00"/>
    <x v="1"/>
    <x v="2"/>
    <x v="0"/>
    <x v="0"/>
    <x v="1"/>
    <x v="2"/>
    <x v="10"/>
    <x v="1"/>
  </r>
  <r>
    <x v="1854"/>
    <x v="8"/>
    <x v="1"/>
    <x v="1"/>
    <n v="61.2"/>
    <x v="68"/>
    <d v="2025-03-12T00:00:00"/>
    <x v="2"/>
    <x v="0"/>
    <x v="0"/>
    <x v="0"/>
    <x v="1"/>
    <x v="1"/>
    <x v="10"/>
    <x v="2"/>
  </r>
  <r>
    <x v="1855"/>
    <x v="10"/>
    <x v="9"/>
    <x v="614"/>
    <n v="165"/>
    <x v="68"/>
    <d v="2025-03-11T00:00:00"/>
    <x v="1"/>
    <x v="1"/>
    <x v="1"/>
    <x v="0"/>
    <x v="27"/>
    <x v="3"/>
    <x v="10"/>
    <x v="1"/>
  </r>
  <r>
    <x v="1856"/>
    <x v="17"/>
    <x v="11"/>
    <x v="624"/>
    <n v="378.90000000000003"/>
    <x v="68"/>
    <d v="2025-03-16T00:00:00"/>
    <x v="2"/>
    <x v="2"/>
    <x v="0"/>
    <x v="0"/>
    <x v="44"/>
    <x v="4"/>
    <x v="10"/>
    <x v="2"/>
  </r>
  <r>
    <x v="1857"/>
    <x v="6"/>
    <x v="3"/>
    <x v="777"/>
    <n v="543.9"/>
    <x v="68"/>
    <d v="2025-03-15T00:00:00"/>
    <x v="2"/>
    <x v="1"/>
    <x v="2"/>
    <x v="0"/>
    <x v="50"/>
    <x v="0"/>
    <x v="10"/>
    <x v="2"/>
  </r>
  <r>
    <x v="1858"/>
    <x v="17"/>
    <x v="13"/>
    <x v="188"/>
    <n v="136.19999999999999"/>
    <x v="68"/>
    <d v="2025-03-13T00:00:00"/>
    <x v="2"/>
    <x v="2"/>
    <x v="0"/>
    <x v="0"/>
    <x v="3"/>
    <x v="2"/>
    <x v="10"/>
    <x v="2"/>
  </r>
  <r>
    <x v="1859"/>
    <x v="2"/>
    <x v="1"/>
    <x v="819"/>
    <n v="266"/>
    <x v="68"/>
    <d v="2025-03-10T00:00:00"/>
    <x v="1"/>
    <x v="2"/>
    <x v="2"/>
    <x v="0"/>
    <x v="3"/>
    <x v="7"/>
    <x v="10"/>
    <x v="1"/>
  </r>
  <r>
    <x v="1860"/>
    <x v="0"/>
    <x v="1"/>
    <x v="121"/>
    <n v="46.6"/>
    <x v="68"/>
    <d v="2025-03-11T00:00:00"/>
    <x v="1"/>
    <x v="1"/>
    <x v="2"/>
    <x v="0"/>
    <x v="3"/>
    <x v="3"/>
    <x v="10"/>
    <x v="1"/>
  </r>
  <r>
    <x v="1861"/>
    <x v="8"/>
    <x v="2"/>
    <x v="289"/>
    <n v="62.099999999999994"/>
    <x v="68"/>
    <d v="2025-03-12T00:00:00"/>
    <x v="3"/>
    <x v="0"/>
    <x v="2"/>
    <x v="0"/>
    <x v="3"/>
    <x v="1"/>
    <x v="10"/>
    <x v="3"/>
  </r>
  <r>
    <x v="1862"/>
    <x v="12"/>
    <x v="1"/>
    <x v="642"/>
    <n v="94"/>
    <x v="68"/>
    <d v="2025-03-11T00:00:00"/>
    <x v="1"/>
    <x v="1"/>
    <x v="2"/>
    <x v="0"/>
    <x v="3"/>
    <x v="3"/>
    <x v="10"/>
    <x v="1"/>
  </r>
  <r>
    <x v="1863"/>
    <x v="12"/>
    <x v="2"/>
    <x v="751"/>
    <n v="114.60000000000001"/>
    <x v="68"/>
    <d v="2025-03-12T00:00:00"/>
    <x v="2"/>
    <x v="2"/>
    <x v="4"/>
    <x v="0"/>
    <x v="3"/>
    <x v="1"/>
    <x v="10"/>
    <x v="2"/>
  </r>
  <r>
    <x v="1864"/>
    <x v="9"/>
    <x v="0"/>
    <x v="644"/>
    <n v="39.1"/>
    <x v="68"/>
    <d v="2025-03-12T00:00:00"/>
    <x v="2"/>
    <x v="0"/>
    <x v="0"/>
    <x v="0"/>
    <x v="3"/>
    <x v="1"/>
    <x v="10"/>
    <x v="2"/>
  </r>
  <r>
    <x v="1865"/>
    <x v="7"/>
    <x v="30"/>
    <x v="495"/>
    <n v="1390"/>
    <x v="68"/>
    <d v="2025-03-12T00:00:00"/>
    <x v="1"/>
    <x v="0"/>
    <x v="2"/>
    <x v="0"/>
    <x v="3"/>
    <x v="1"/>
    <x v="10"/>
    <x v="1"/>
  </r>
  <r>
    <x v="1866"/>
    <x v="15"/>
    <x v="0"/>
    <x v="39"/>
    <n v="43.1"/>
    <x v="68"/>
    <d v="2025-03-10T00:00:00"/>
    <x v="3"/>
    <x v="1"/>
    <x v="2"/>
    <x v="0"/>
    <x v="3"/>
    <x v="7"/>
    <x v="10"/>
    <x v="3"/>
  </r>
  <r>
    <x v="1867"/>
    <x v="6"/>
    <x v="12"/>
    <x v="142"/>
    <n v="192.4"/>
    <x v="68"/>
    <d v="2025-03-11T00:00:00"/>
    <x v="2"/>
    <x v="4"/>
    <x v="2"/>
    <x v="0"/>
    <x v="3"/>
    <x v="3"/>
    <x v="10"/>
    <x v="2"/>
  </r>
  <r>
    <x v="1868"/>
    <x v="4"/>
    <x v="0"/>
    <x v="300"/>
    <n v="42"/>
    <x v="68"/>
    <d v="2025-03-11T00:00:00"/>
    <x v="3"/>
    <x v="0"/>
    <x v="0"/>
    <x v="0"/>
    <x v="3"/>
    <x v="3"/>
    <x v="10"/>
    <x v="3"/>
  </r>
  <r>
    <x v="1869"/>
    <x v="8"/>
    <x v="9"/>
    <x v="383"/>
    <n v="91.5"/>
    <x v="68"/>
    <d v="2025-03-10T00:00:00"/>
    <x v="2"/>
    <x v="2"/>
    <x v="0"/>
    <x v="0"/>
    <x v="3"/>
    <x v="7"/>
    <x v="10"/>
    <x v="2"/>
  </r>
  <r>
    <x v="1870"/>
    <x v="10"/>
    <x v="12"/>
    <x v="299"/>
    <n v="181.2"/>
    <x v="68"/>
    <d v="2025-03-13T00:00:00"/>
    <x v="2"/>
    <x v="0"/>
    <x v="2"/>
    <x v="0"/>
    <x v="3"/>
    <x v="2"/>
    <x v="10"/>
    <x v="2"/>
  </r>
  <r>
    <x v="1871"/>
    <x v="0"/>
    <x v="1"/>
    <x v="843"/>
    <n v="55.2"/>
    <x v="68"/>
    <d v="2025-03-12T00:00:00"/>
    <x v="1"/>
    <x v="0"/>
    <x v="2"/>
    <x v="0"/>
    <x v="37"/>
    <x v="1"/>
    <x v="10"/>
    <x v="1"/>
  </r>
  <r>
    <x v="1872"/>
    <x v="4"/>
    <x v="9"/>
    <x v="436"/>
    <n v="134.5"/>
    <x v="68"/>
    <d v="2025-03-11T00:00:00"/>
    <x v="2"/>
    <x v="2"/>
    <x v="0"/>
    <x v="0"/>
    <x v="25"/>
    <x v="3"/>
    <x v="10"/>
    <x v="2"/>
  </r>
  <r>
    <x v="1873"/>
    <x v="2"/>
    <x v="11"/>
    <x v="844"/>
    <n v="741.6"/>
    <x v="68"/>
    <d v="2025-03-12T00:00:00"/>
    <x v="3"/>
    <x v="2"/>
    <x v="0"/>
    <x v="0"/>
    <x v="5"/>
    <x v="1"/>
    <x v="10"/>
    <x v="3"/>
  </r>
  <r>
    <x v="1874"/>
    <x v="6"/>
    <x v="0"/>
    <x v="74"/>
    <n v="103.7"/>
    <x v="68"/>
    <d v="2025-03-12T00:00:00"/>
    <x v="2"/>
    <x v="1"/>
    <x v="0"/>
    <x v="0"/>
    <x v="5"/>
    <x v="1"/>
    <x v="10"/>
    <x v="2"/>
  </r>
  <r>
    <x v="1875"/>
    <x v="2"/>
    <x v="1"/>
    <x v="466"/>
    <n v="117.6"/>
    <x v="68"/>
    <d v="2025-03-15T00:00:00"/>
    <x v="2"/>
    <x v="1"/>
    <x v="2"/>
    <x v="0"/>
    <x v="6"/>
    <x v="0"/>
    <x v="10"/>
    <x v="2"/>
  </r>
  <r>
    <x v="1876"/>
    <x v="13"/>
    <x v="0"/>
    <x v="217"/>
    <n v="31.5"/>
    <x v="68"/>
    <d v="2025-03-11T00:00:00"/>
    <x v="2"/>
    <x v="1"/>
    <x v="1"/>
    <x v="0"/>
    <x v="6"/>
    <x v="3"/>
    <x v="10"/>
    <x v="2"/>
  </r>
  <r>
    <x v="1877"/>
    <x v="7"/>
    <x v="9"/>
    <x v="78"/>
    <n v="184"/>
    <x v="68"/>
    <d v="2025-03-12T00:00:00"/>
    <x v="2"/>
    <x v="0"/>
    <x v="0"/>
    <x v="0"/>
    <x v="8"/>
    <x v="1"/>
    <x v="10"/>
    <x v="2"/>
  </r>
  <r>
    <x v="1878"/>
    <x v="3"/>
    <x v="0"/>
    <x v="845"/>
    <n v="84.4"/>
    <x v="68"/>
    <d v="2025-03-11T00:00:00"/>
    <x v="2"/>
    <x v="0"/>
    <x v="0"/>
    <x v="0"/>
    <x v="8"/>
    <x v="3"/>
    <x v="10"/>
    <x v="2"/>
  </r>
  <r>
    <x v="1879"/>
    <x v="14"/>
    <x v="0"/>
    <x v="613"/>
    <n v="44.7"/>
    <x v="68"/>
    <d v="2025-03-11T00:00:00"/>
    <x v="1"/>
    <x v="0"/>
    <x v="1"/>
    <x v="0"/>
    <x v="8"/>
    <x v="3"/>
    <x v="10"/>
    <x v="1"/>
  </r>
  <r>
    <x v="1880"/>
    <x v="9"/>
    <x v="8"/>
    <x v="632"/>
    <n v="315.2"/>
    <x v="68"/>
    <d v="2025-03-11T00:00:00"/>
    <x v="2"/>
    <x v="1"/>
    <x v="2"/>
    <x v="0"/>
    <x v="8"/>
    <x v="3"/>
    <x v="10"/>
    <x v="2"/>
  </r>
  <r>
    <x v="1881"/>
    <x v="11"/>
    <x v="12"/>
    <x v="271"/>
    <n v="139.6"/>
    <x v="68"/>
    <d v="2025-03-12T00:00:00"/>
    <x v="2"/>
    <x v="0"/>
    <x v="2"/>
    <x v="0"/>
    <x v="8"/>
    <x v="1"/>
    <x v="10"/>
    <x v="2"/>
  </r>
  <r>
    <x v="1882"/>
    <x v="1"/>
    <x v="2"/>
    <x v="556"/>
    <n v="186.89999999999998"/>
    <x v="68"/>
    <d v="2025-03-12T00:00:00"/>
    <x v="1"/>
    <x v="4"/>
    <x v="2"/>
    <x v="0"/>
    <x v="8"/>
    <x v="1"/>
    <x v="10"/>
    <x v="1"/>
  </r>
  <r>
    <x v="1883"/>
    <x v="8"/>
    <x v="12"/>
    <x v="438"/>
    <n v="84.4"/>
    <x v="68"/>
    <d v="2025-03-13T00:00:00"/>
    <x v="1"/>
    <x v="3"/>
    <x v="0"/>
    <x v="0"/>
    <x v="8"/>
    <x v="2"/>
    <x v="10"/>
    <x v="1"/>
  </r>
  <r>
    <x v="1884"/>
    <x v="8"/>
    <x v="2"/>
    <x v="846"/>
    <n v="99.600000000000009"/>
    <x v="68"/>
    <d v="2025-03-24T00:00:00"/>
    <x v="0"/>
    <x v="0"/>
    <x v="4"/>
    <x v="0"/>
    <x v="8"/>
    <x v="12"/>
    <x v="10"/>
    <x v="0"/>
  </r>
  <r>
    <x v="1885"/>
    <x v="1"/>
    <x v="12"/>
    <x v="417"/>
    <n v="298"/>
    <x v="68"/>
    <d v="2025-03-11T00:00:00"/>
    <x v="1"/>
    <x v="4"/>
    <x v="0"/>
    <x v="0"/>
    <x v="8"/>
    <x v="3"/>
    <x v="10"/>
    <x v="1"/>
  </r>
  <r>
    <x v="1886"/>
    <x v="10"/>
    <x v="4"/>
    <x v="43"/>
    <n v="823.19999999999993"/>
    <x v="68"/>
    <d v="2025-03-13T00:00:00"/>
    <x v="2"/>
    <x v="0"/>
    <x v="2"/>
    <x v="0"/>
    <x v="8"/>
    <x v="2"/>
    <x v="10"/>
    <x v="2"/>
  </r>
  <r>
    <x v="1887"/>
    <x v="5"/>
    <x v="21"/>
    <x v="128"/>
    <n v="509.59999999999997"/>
    <x v="68"/>
    <d v="2025-03-12T00:00:00"/>
    <x v="2"/>
    <x v="0"/>
    <x v="1"/>
    <x v="0"/>
    <x v="9"/>
    <x v="1"/>
    <x v="10"/>
    <x v="2"/>
  </r>
  <r>
    <x v="1888"/>
    <x v="16"/>
    <x v="9"/>
    <x v="212"/>
    <n v="338"/>
    <x v="69"/>
    <d v="2025-03-14T00:00:00"/>
    <x v="2"/>
    <x v="4"/>
    <x v="1"/>
    <x v="0"/>
    <x v="9"/>
    <x v="2"/>
    <x v="10"/>
    <x v="2"/>
  </r>
  <r>
    <x v="1889"/>
    <x v="15"/>
    <x v="0"/>
    <x v="425"/>
    <n v="46.3"/>
    <x v="69"/>
    <d v="2025-03-12T00:00:00"/>
    <x v="1"/>
    <x v="2"/>
    <x v="0"/>
    <x v="0"/>
    <x v="9"/>
    <x v="3"/>
    <x v="10"/>
    <x v="1"/>
  </r>
  <r>
    <x v="1890"/>
    <x v="1"/>
    <x v="2"/>
    <x v="847"/>
    <n v="372.6"/>
    <x v="69"/>
    <d v="2025-03-13T00:00:00"/>
    <x v="2"/>
    <x v="1"/>
    <x v="2"/>
    <x v="0"/>
    <x v="11"/>
    <x v="1"/>
    <x v="10"/>
    <x v="2"/>
  </r>
  <r>
    <x v="1891"/>
    <x v="10"/>
    <x v="1"/>
    <x v="571"/>
    <n v="74"/>
    <x v="69"/>
    <d v="2025-03-17T00:00:00"/>
    <x v="1"/>
    <x v="0"/>
    <x v="0"/>
    <x v="0"/>
    <x v="11"/>
    <x v="4"/>
    <x v="10"/>
    <x v="1"/>
  </r>
  <r>
    <x v="1892"/>
    <x v="5"/>
    <x v="0"/>
    <x v="80"/>
    <n v="41.8"/>
    <x v="69"/>
    <d v="2025-03-12T00:00:00"/>
    <x v="1"/>
    <x v="2"/>
    <x v="0"/>
    <x v="0"/>
    <x v="31"/>
    <x v="3"/>
    <x v="10"/>
    <x v="1"/>
  </r>
  <r>
    <x v="1893"/>
    <x v="9"/>
    <x v="1"/>
    <x v="27"/>
    <n v="114.4"/>
    <x v="69"/>
    <d v="2025-03-13T00:00:00"/>
    <x v="1"/>
    <x v="2"/>
    <x v="1"/>
    <x v="0"/>
    <x v="20"/>
    <x v="1"/>
    <x v="10"/>
    <x v="1"/>
  </r>
  <r>
    <x v="1894"/>
    <x v="6"/>
    <x v="1"/>
    <x v="344"/>
    <n v="94.2"/>
    <x v="69"/>
    <d v="2025-03-13T00:00:00"/>
    <x v="2"/>
    <x v="0"/>
    <x v="4"/>
    <x v="0"/>
    <x v="20"/>
    <x v="1"/>
    <x v="10"/>
    <x v="2"/>
  </r>
  <r>
    <x v="1895"/>
    <x v="5"/>
    <x v="2"/>
    <x v="154"/>
    <n v="259.20000000000005"/>
    <x v="69"/>
    <d v="2025-03-12T00:00:00"/>
    <x v="1"/>
    <x v="2"/>
    <x v="1"/>
    <x v="0"/>
    <x v="52"/>
    <x v="3"/>
    <x v="10"/>
    <x v="1"/>
  </r>
  <r>
    <x v="1896"/>
    <x v="6"/>
    <x v="9"/>
    <x v="485"/>
    <n v="525"/>
    <x v="69"/>
    <d v="2025-03-14T00:00:00"/>
    <x v="1"/>
    <x v="0"/>
    <x v="0"/>
    <x v="0"/>
    <x v="13"/>
    <x v="2"/>
    <x v="10"/>
    <x v="1"/>
  </r>
  <r>
    <x v="1897"/>
    <x v="18"/>
    <x v="0"/>
    <x v="614"/>
    <n v="33"/>
    <x v="69"/>
    <d v="2025-03-14T00:00:00"/>
    <x v="1"/>
    <x v="4"/>
    <x v="0"/>
    <x v="0"/>
    <x v="21"/>
    <x v="2"/>
    <x v="10"/>
    <x v="1"/>
  </r>
  <r>
    <x v="1898"/>
    <x v="6"/>
    <x v="9"/>
    <x v="649"/>
    <n v="533"/>
    <x v="69"/>
    <d v="2025-03-24T00:00:00"/>
    <x v="2"/>
    <x v="2"/>
    <x v="0"/>
    <x v="0"/>
    <x v="1"/>
    <x v="10"/>
    <x v="10"/>
    <x v="2"/>
  </r>
  <r>
    <x v="1899"/>
    <x v="10"/>
    <x v="46"/>
    <x v="48"/>
    <n v="857.6"/>
    <x v="69"/>
    <d v="2025-03-12T00:00:00"/>
    <x v="2"/>
    <x v="2"/>
    <x v="0"/>
    <x v="0"/>
    <x v="1"/>
    <x v="3"/>
    <x v="10"/>
    <x v="2"/>
  </r>
  <r>
    <x v="1900"/>
    <x v="17"/>
    <x v="9"/>
    <x v="136"/>
    <n v="129"/>
    <x v="69"/>
    <d v="2025-03-11T00:00:00"/>
    <x v="2"/>
    <x v="1"/>
    <x v="2"/>
    <x v="0"/>
    <x v="3"/>
    <x v="7"/>
    <x v="10"/>
    <x v="2"/>
  </r>
  <r>
    <x v="1901"/>
    <x v="2"/>
    <x v="2"/>
    <x v="848"/>
    <n v="651"/>
    <x v="69"/>
    <d v="2025-03-12T00:00:00"/>
    <x v="2"/>
    <x v="1"/>
    <x v="1"/>
    <x v="0"/>
    <x v="3"/>
    <x v="3"/>
    <x v="10"/>
    <x v="2"/>
  </r>
  <r>
    <x v="1902"/>
    <x v="2"/>
    <x v="1"/>
    <x v="849"/>
    <n v="194.6"/>
    <x v="69"/>
    <d v="2025-03-12T00:00:00"/>
    <x v="1"/>
    <x v="2"/>
    <x v="4"/>
    <x v="0"/>
    <x v="3"/>
    <x v="3"/>
    <x v="10"/>
    <x v="1"/>
  </r>
  <r>
    <x v="1903"/>
    <x v="1"/>
    <x v="0"/>
    <x v="850"/>
    <n v="49.8"/>
    <x v="69"/>
    <d v="2025-03-12T00:00:00"/>
    <x v="2"/>
    <x v="0"/>
    <x v="0"/>
    <x v="0"/>
    <x v="3"/>
    <x v="3"/>
    <x v="10"/>
    <x v="2"/>
  </r>
  <r>
    <x v="1904"/>
    <x v="12"/>
    <x v="9"/>
    <x v="101"/>
    <n v="163"/>
    <x v="69"/>
    <d v="2025-03-12T00:00:00"/>
    <x v="2"/>
    <x v="0"/>
    <x v="0"/>
    <x v="0"/>
    <x v="3"/>
    <x v="3"/>
    <x v="10"/>
    <x v="2"/>
  </r>
  <r>
    <x v="1905"/>
    <x v="9"/>
    <x v="1"/>
    <x v="464"/>
    <n v="80.2"/>
    <x v="69"/>
    <d v="2025-03-14T00:00:00"/>
    <x v="1"/>
    <x v="1"/>
    <x v="2"/>
    <x v="0"/>
    <x v="3"/>
    <x v="2"/>
    <x v="10"/>
    <x v="1"/>
  </r>
  <r>
    <x v="1906"/>
    <x v="10"/>
    <x v="1"/>
    <x v="183"/>
    <n v="98.8"/>
    <x v="69"/>
    <d v="2025-03-13T00:00:00"/>
    <x v="1"/>
    <x v="1"/>
    <x v="0"/>
    <x v="0"/>
    <x v="3"/>
    <x v="1"/>
    <x v="10"/>
    <x v="1"/>
  </r>
  <r>
    <x v="1907"/>
    <x v="2"/>
    <x v="0"/>
    <x v="618"/>
    <n v="67.3"/>
    <x v="69"/>
    <d v="2025-03-12T00:00:00"/>
    <x v="2"/>
    <x v="0"/>
    <x v="2"/>
    <x v="0"/>
    <x v="3"/>
    <x v="3"/>
    <x v="10"/>
    <x v="2"/>
  </r>
  <r>
    <x v="1908"/>
    <x v="18"/>
    <x v="12"/>
    <x v="239"/>
    <n v="178"/>
    <x v="69"/>
    <d v="2025-03-14T00:00:00"/>
    <x v="0"/>
    <x v="1"/>
    <x v="0"/>
    <x v="0"/>
    <x v="3"/>
    <x v="2"/>
    <x v="10"/>
    <x v="0"/>
  </r>
  <r>
    <x v="1909"/>
    <x v="6"/>
    <x v="5"/>
    <x v="851"/>
    <n v="1222.0999999999999"/>
    <x v="69"/>
    <d v="2025-03-12T00:00:00"/>
    <x v="2"/>
    <x v="4"/>
    <x v="0"/>
    <x v="0"/>
    <x v="3"/>
    <x v="3"/>
    <x v="10"/>
    <x v="2"/>
  </r>
  <r>
    <x v="1910"/>
    <x v="8"/>
    <x v="2"/>
    <x v="478"/>
    <n v="59.099999999999994"/>
    <x v="69"/>
    <d v="2025-03-12T00:00:00"/>
    <x v="2"/>
    <x v="4"/>
    <x v="4"/>
    <x v="0"/>
    <x v="3"/>
    <x v="3"/>
    <x v="10"/>
    <x v="2"/>
  </r>
  <r>
    <x v="1911"/>
    <x v="1"/>
    <x v="0"/>
    <x v="7"/>
    <n v="40.299999999999997"/>
    <x v="69"/>
    <d v="2025-03-12T00:00:00"/>
    <x v="3"/>
    <x v="1"/>
    <x v="0"/>
    <x v="0"/>
    <x v="3"/>
    <x v="3"/>
    <x v="10"/>
    <x v="3"/>
  </r>
  <r>
    <x v="1912"/>
    <x v="6"/>
    <x v="1"/>
    <x v="586"/>
    <n v="217.6"/>
    <x v="69"/>
    <d v="2025-03-16T00:00:00"/>
    <x v="1"/>
    <x v="0"/>
    <x v="2"/>
    <x v="0"/>
    <x v="6"/>
    <x v="0"/>
    <x v="10"/>
    <x v="1"/>
  </r>
  <r>
    <x v="1913"/>
    <x v="8"/>
    <x v="2"/>
    <x v="297"/>
    <n v="144.60000000000002"/>
    <x v="69"/>
    <d v="2025-03-16T00:00:00"/>
    <x v="2"/>
    <x v="4"/>
    <x v="0"/>
    <x v="0"/>
    <x v="7"/>
    <x v="0"/>
    <x v="10"/>
    <x v="2"/>
  </r>
  <r>
    <x v="1914"/>
    <x v="2"/>
    <x v="2"/>
    <x v="852"/>
    <n v="314.10000000000002"/>
    <x v="69"/>
    <d v="2025-03-13T00:00:00"/>
    <x v="2"/>
    <x v="0"/>
    <x v="1"/>
    <x v="0"/>
    <x v="7"/>
    <x v="1"/>
    <x v="10"/>
    <x v="2"/>
  </r>
  <r>
    <x v="1915"/>
    <x v="1"/>
    <x v="1"/>
    <x v="853"/>
    <n v="161.19999999999999"/>
    <x v="69"/>
    <d v="2025-03-11T00:00:00"/>
    <x v="2"/>
    <x v="1"/>
    <x v="0"/>
    <x v="0"/>
    <x v="8"/>
    <x v="7"/>
    <x v="10"/>
    <x v="2"/>
  </r>
  <r>
    <x v="1916"/>
    <x v="6"/>
    <x v="0"/>
    <x v="313"/>
    <n v="65.5"/>
    <x v="69"/>
    <d v="2025-03-13T00:00:00"/>
    <x v="3"/>
    <x v="1"/>
    <x v="0"/>
    <x v="0"/>
    <x v="8"/>
    <x v="1"/>
    <x v="10"/>
    <x v="3"/>
  </r>
  <r>
    <x v="1917"/>
    <x v="9"/>
    <x v="2"/>
    <x v="854"/>
    <n v="184.2"/>
    <x v="69"/>
    <d v="2025-03-13T00:00:00"/>
    <x v="2"/>
    <x v="4"/>
    <x v="2"/>
    <x v="0"/>
    <x v="8"/>
    <x v="1"/>
    <x v="10"/>
    <x v="2"/>
  </r>
  <r>
    <x v="1918"/>
    <x v="0"/>
    <x v="0"/>
    <x v="150"/>
    <n v="12.5"/>
    <x v="70"/>
    <d v="2025-03-15T00:00:00"/>
    <x v="2"/>
    <x v="0"/>
    <x v="1"/>
    <x v="0"/>
    <x v="8"/>
    <x v="2"/>
    <x v="10"/>
    <x v="2"/>
  </r>
  <r>
    <x v="1919"/>
    <x v="4"/>
    <x v="12"/>
    <x v="334"/>
    <n v="140.4"/>
    <x v="70"/>
    <d v="2025-03-13T00:00:00"/>
    <x v="1"/>
    <x v="2"/>
    <x v="1"/>
    <x v="0"/>
    <x v="17"/>
    <x v="3"/>
    <x v="10"/>
    <x v="1"/>
  </r>
  <r>
    <x v="1920"/>
    <x v="5"/>
    <x v="1"/>
    <x v="740"/>
    <n v="111.4"/>
    <x v="70"/>
    <d v="2025-03-13T00:00:00"/>
    <x v="1"/>
    <x v="0"/>
    <x v="1"/>
    <x v="0"/>
    <x v="26"/>
    <x v="3"/>
    <x v="10"/>
    <x v="1"/>
  </r>
  <r>
    <x v="1921"/>
    <x v="7"/>
    <x v="1"/>
    <x v="461"/>
    <n v="115.4"/>
    <x v="70"/>
    <d v="2025-03-14T00:00:00"/>
    <x v="1"/>
    <x v="4"/>
    <x v="1"/>
    <x v="0"/>
    <x v="9"/>
    <x v="1"/>
    <x v="10"/>
    <x v="1"/>
  </r>
  <r>
    <x v="1922"/>
    <x v="2"/>
    <x v="13"/>
    <x v="753"/>
    <n v="514.20000000000005"/>
    <x v="70"/>
    <d v="2025-03-13T00:00:00"/>
    <x v="1"/>
    <x v="3"/>
    <x v="2"/>
    <x v="0"/>
    <x v="9"/>
    <x v="3"/>
    <x v="10"/>
    <x v="1"/>
  </r>
  <r>
    <x v="1923"/>
    <x v="2"/>
    <x v="2"/>
    <x v="724"/>
    <n v="260.70000000000005"/>
    <x v="70"/>
    <d v="2025-03-14T00:00:00"/>
    <x v="2"/>
    <x v="1"/>
    <x v="0"/>
    <x v="0"/>
    <x v="11"/>
    <x v="1"/>
    <x v="10"/>
    <x v="2"/>
  </r>
  <r>
    <x v="1924"/>
    <x v="18"/>
    <x v="1"/>
    <x v="340"/>
    <n v="92.8"/>
    <x v="70"/>
    <d v="2025-03-15T00:00:00"/>
    <x v="2"/>
    <x v="4"/>
    <x v="0"/>
    <x v="0"/>
    <x v="11"/>
    <x v="2"/>
    <x v="10"/>
    <x v="2"/>
  </r>
  <r>
    <x v="1925"/>
    <x v="5"/>
    <x v="2"/>
    <x v="855"/>
    <n v="76.199999999999989"/>
    <x v="70"/>
    <d v="2025-03-12T00:00:00"/>
    <x v="2"/>
    <x v="2"/>
    <x v="2"/>
    <x v="0"/>
    <x v="18"/>
    <x v="7"/>
    <x v="10"/>
    <x v="2"/>
  </r>
  <r>
    <x v="1926"/>
    <x v="10"/>
    <x v="2"/>
    <x v="134"/>
    <n v="143.39999999999998"/>
    <x v="70"/>
    <d v="2025-03-12T00:00:00"/>
    <x v="0"/>
    <x v="2"/>
    <x v="2"/>
    <x v="0"/>
    <x v="19"/>
    <x v="7"/>
    <x v="10"/>
    <x v="0"/>
  </r>
  <r>
    <x v="1927"/>
    <x v="8"/>
    <x v="10"/>
    <x v="856"/>
    <n v="349.59999999999997"/>
    <x v="70"/>
    <d v="2025-03-14T00:00:00"/>
    <x v="3"/>
    <x v="2"/>
    <x v="0"/>
    <x v="0"/>
    <x v="20"/>
    <x v="1"/>
    <x v="10"/>
    <x v="3"/>
  </r>
  <r>
    <x v="1928"/>
    <x v="12"/>
    <x v="2"/>
    <x v="313"/>
    <n v="196.5"/>
    <x v="70"/>
    <d v="2025-03-20T00:00:00"/>
    <x v="2"/>
    <x v="0"/>
    <x v="0"/>
    <x v="0"/>
    <x v="21"/>
    <x v="9"/>
    <x v="10"/>
    <x v="2"/>
  </r>
  <r>
    <x v="1929"/>
    <x v="10"/>
    <x v="1"/>
    <x v="79"/>
    <n v="101.2"/>
    <x v="70"/>
    <d v="2025-03-15T00:00:00"/>
    <x v="1"/>
    <x v="2"/>
    <x v="4"/>
    <x v="0"/>
    <x v="21"/>
    <x v="2"/>
    <x v="10"/>
    <x v="1"/>
  </r>
  <r>
    <x v="1930"/>
    <x v="3"/>
    <x v="9"/>
    <x v="192"/>
    <n v="345"/>
    <x v="70"/>
    <d v="2025-03-16T00:00:00"/>
    <x v="1"/>
    <x v="3"/>
    <x v="0"/>
    <x v="0"/>
    <x v="21"/>
    <x v="5"/>
    <x v="10"/>
    <x v="1"/>
  </r>
  <r>
    <x v="1931"/>
    <x v="9"/>
    <x v="8"/>
    <x v="18"/>
    <n v="408.8"/>
    <x v="70"/>
    <d v="2025-03-14T00:00:00"/>
    <x v="2"/>
    <x v="0"/>
    <x v="0"/>
    <x v="0"/>
    <x v="1"/>
    <x v="1"/>
    <x v="10"/>
    <x v="2"/>
  </r>
  <r>
    <x v="1932"/>
    <x v="9"/>
    <x v="0"/>
    <x v="160"/>
    <n v="36.1"/>
    <x v="70"/>
    <d v="2025-03-13T00:00:00"/>
    <x v="2"/>
    <x v="0"/>
    <x v="2"/>
    <x v="0"/>
    <x v="34"/>
    <x v="3"/>
    <x v="10"/>
    <x v="2"/>
  </r>
  <r>
    <x v="1933"/>
    <x v="14"/>
    <x v="0"/>
    <x v="585"/>
    <n v="18.7"/>
    <x v="70"/>
    <d v="2025-03-13T00:00:00"/>
    <x v="1"/>
    <x v="0"/>
    <x v="0"/>
    <x v="0"/>
    <x v="3"/>
    <x v="3"/>
    <x v="10"/>
    <x v="1"/>
  </r>
  <r>
    <x v="1934"/>
    <x v="17"/>
    <x v="0"/>
    <x v="90"/>
    <n v="30.1"/>
    <x v="70"/>
    <d v="2025-03-15T00:00:00"/>
    <x v="2"/>
    <x v="3"/>
    <x v="1"/>
    <x v="0"/>
    <x v="3"/>
    <x v="2"/>
    <x v="10"/>
    <x v="2"/>
  </r>
  <r>
    <x v="1935"/>
    <x v="8"/>
    <x v="0"/>
    <x v="857"/>
    <n v="16.3"/>
    <x v="70"/>
    <d v="2025-03-13T00:00:00"/>
    <x v="1"/>
    <x v="3"/>
    <x v="0"/>
    <x v="0"/>
    <x v="3"/>
    <x v="3"/>
    <x v="10"/>
    <x v="1"/>
  </r>
  <r>
    <x v="1936"/>
    <x v="1"/>
    <x v="2"/>
    <x v="259"/>
    <n v="191.39999999999998"/>
    <x v="70"/>
    <d v="2025-03-17T00:00:00"/>
    <x v="2"/>
    <x v="2"/>
    <x v="1"/>
    <x v="0"/>
    <x v="3"/>
    <x v="0"/>
    <x v="10"/>
    <x v="2"/>
  </r>
  <r>
    <x v="1937"/>
    <x v="1"/>
    <x v="3"/>
    <x v="858"/>
    <n v="517.30000000000007"/>
    <x v="70"/>
    <d v="2025-03-12T00:00:00"/>
    <x v="2"/>
    <x v="0"/>
    <x v="1"/>
    <x v="0"/>
    <x v="3"/>
    <x v="7"/>
    <x v="10"/>
    <x v="2"/>
  </r>
  <r>
    <x v="1938"/>
    <x v="0"/>
    <x v="1"/>
    <x v="736"/>
    <n v="40.4"/>
    <x v="70"/>
    <d v="2025-03-13T00:00:00"/>
    <x v="1"/>
    <x v="0"/>
    <x v="1"/>
    <x v="0"/>
    <x v="3"/>
    <x v="3"/>
    <x v="10"/>
    <x v="1"/>
  </r>
  <r>
    <x v="1939"/>
    <x v="11"/>
    <x v="5"/>
    <x v="669"/>
    <n v="324.5"/>
    <x v="70"/>
    <d v="2025-03-13T00:00:00"/>
    <x v="1"/>
    <x v="0"/>
    <x v="0"/>
    <x v="0"/>
    <x v="3"/>
    <x v="3"/>
    <x v="10"/>
    <x v="1"/>
  </r>
  <r>
    <x v="1940"/>
    <x v="15"/>
    <x v="3"/>
    <x v="430"/>
    <n v="265.3"/>
    <x v="70"/>
    <d v="2025-03-13T00:00:00"/>
    <x v="1"/>
    <x v="1"/>
    <x v="0"/>
    <x v="0"/>
    <x v="3"/>
    <x v="3"/>
    <x v="10"/>
    <x v="1"/>
  </r>
  <r>
    <x v="1941"/>
    <x v="2"/>
    <x v="0"/>
    <x v="448"/>
    <n v="56.5"/>
    <x v="70"/>
    <d v="2025-03-13T00:00:00"/>
    <x v="2"/>
    <x v="2"/>
    <x v="1"/>
    <x v="0"/>
    <x v="3"/>
    <x v="3"/>
    <x v="10"/>
    <x v="2"/>
  </r>
  <r>
    <x v="1942"/>
    <x v="2"/>
    <x v="1"/>
    <x v="668"/>
    <n v="133.80000000000001"/>
    <x v="70"/>
    <d v="2025-03-18T00:00:00"/>
    <x v="1"/>
    <x v="1"/>
    <x v="4"/>
    <x v="0"/>
    <x v="25"/>
    <x v="4"/>
    <x v="10"/>
    <x v="1"/>
  </r>
  <r>
    <x v="1943"/>
    <x v="2"/>
    <x v="9"/>
    <x v="424"/>
    <n v="259.5"/>
    <x v="70"/>
    <d v="2025-03-15T00:00:00"/>
    <x v="1"/>
    <x v="1"/>
    <x v="0"/>
    <x v="0"/>
    <x v="7"/>
    <x v="2"/>
    <x v="10"/>
    <x v="1"/>
  </r>
  <r>
    <x v="1944"/>
    <x v="2"/>
    <x v="1"/>
    <x v="859"/>
    <n v="151.19999999999999"/>
    <x v="70"/>
    <d v="2025-03-15T00:00:00"/>
    <x v="1"/>
    <x v="1"/>
    <x v="0"/>
    <x v="0"/>
    <x v="8"/>
    <x v="2"/>
    <x v="10"/>
    <x v="1"/>
  </r>
  <r>
    <x v="1945"/>
    <x v="12"/>
    <x v="13"/>
    <x v="219"/>
    <n v="283.79999999999995"/>
    <x v="70"/>
    <d v="2025-03-23T00:00:00"/>
    <x v="1"/>
    <x v="0"/>
    <x v="0"/>
    <x v="0"/>
    <x v="8"/>
    <x v="11"/>
    <x v="10"/>
    <x v="1"/>
  </r>
  <r>
    <x v="1946"/>
    <x v="4"/>
    <x v="0"/>
    <x v="468"/>
    <n v="20.6"/>
    <x v="70"/>
    <d v="2025-03-13T00:00:00"/>
    <x v="0"/>
    <x v="0"/>
    <x v="1"/>
    <x v="0"/>
    <x v="8"/>
    <x v="3"/>
    <x v="10"/>
    <x v="0"/>
  </r>
  <r>
    <x v="1947"/>
    <x v="6"/>
    <x v="2"/>
    <x v="235"/>
    <n v="149.10000000000002"/>
    <x v="70"/>
    <d v="2025-03-14T00:00:00"/>
    <x v="1"/>
    <x v="0"/>
    <x v="1"/>
    <x v="0"/>
    <x v="8"/>
    <x v="1"/>
    <x v="10"/>
    <x v="1"/>
  </r>
  <r>
    <x v="1948"/>
    <x v="3"/>
    <x v="0"/>
    <x v="430"/>
    <n v="37.9"/>
    <x v="70"/>
    <d v="2025-03-14T00:00:00"/>
    <x v="2"/>
    <x v="0"/>
    <x v="0"/>
    <x v="0"/>
    <x v="8"/>
    <x v="1"/>
    <x v="10"/>
    <x v="2"/>
  </r>
  <r>
    <x v="1949"/>
    <x v="13"/>
    <x v="20"/>
    <x v="34"/>
    <n v="480"/>
    <x v="70"/>
    <d v="2025-03-14T00:00:00"/>
    <x v="2"/>
    <x v="4"/>
    <x v="0"/>
    <x v="0"/>
    <x v="11"/>
    <x v="1"/>
    <x v="10"/>
    <x v="2"/>
  </r>
  <r>
    <x v="1950"/>
    <x v="10"/>
    <x v="16"/>
    <x v="153"/>
    <n v="693"/>
    <x v="71"/>
    <d v="2025-03-14T00:00:00"/>
    <x v="1"/>
    <x v="0"/>
    <x v="2"/>
    <x v="0"/>
    <x v="11"/>
    <x v="3"/>
    <x v="10"/>
    <x v="1"/>
  </r>
  <r>
    <x v="1951"/>
    <x v="0"/>
    <x v="12"/>
    <x v="860"/>
    <n v="46.8"/>
    <x v="71"/>
    <d v="2025-03-15T00:00:00"/>
    <x v="2"/>
    <x v="1"/>
    <x v="0"/>
    <x v="0"/>
    <x v="20"/>
    <x v="1"/>
    <x v="10"/>
    <x v="2"/>
  </r>
  <r>
    <x v="1952"/>
    <x v="3"/>
    <x v="13"/>
    <x v="861"/>
    <n v="502.79999999999995"/>
    <x v="71"/>
    <d v="2025-03-14T00:00:00"/>
    <x v="1"/>
    <x v="0"/>
    <x v="0"/>
    <x v="0"/>
    <x v="21"/>
    <x v="3"/>
    <x v="10"/>
    <x v="1"/>
  </r>
  <r>
    <x v="1953"/>
    <x v="0"/>
    <x v="3"/>
    <x v="862"/>
    <n v="98"/>
    <x v="71"/>
    <d v="2025-03-16T00:00:00"/>
    <x v="1"/>
    <x v="0"/>
    <x v="1"/>
    <x v="0"/>
    <x v="22"/>
    <x v="2"/>
    <x v="10"/>
    <x v="1"/>
  </r>
  <r>
    <x v="1954"/>
    <x v="16"/>
    <x v="12"/>
    <x v="81"/>
    <n v="309.2"/>
    <x v="71"/>
    <d v="2025-03-15T00:00:00"/>
    <x v="2"/>
    <x v="4"/>
    <x v="2"/>
    <x v="0"/>
    <x v="3"/>
    <x v="1"/>
    <x v="10"/>
    <x v="2"/>
  </r>
  <r>
    <x v="1955"/>
    <x v="2"/>
    <x v="1"/>
    <x v="863"/>
    <n v="153.80000000000001"/>
    <x v="71"/>
    <d v="2025-03-17T00:00:00"/>
    <x v="2"/>
    <x v="0"/>
    <x v="1"/>
    <x v="0"/>
    <x v="3"/>
    <x v="5"/>
    <x v="10"/>
    <x v="2"/>
  </r>
  <r>
    <x v="1956"/>
    <x v="1"/>
    <x v="0"/>
    <x v="196"/>
    <n v="48"/>
    <x v="71"/>
    <d v="2025-03-15T00:00:00"/>
    <x v="2"/>
    <x v="1"/>
    <x v="2"/>
    <x v="0"/>
    <x v="3"/>
    <x v="1"/>
    <x v="10"/>
    <x v="2"/>
  </r>
  <r>
    <x v="1957"/>
    <x v="2"/>
    <x v="0"/>
    <x v="864"/>
    <n v="94.5"/>
    <x v="71"/>
    <d v="2025-03-16T00:00:00"/>
    <x v="1"/>
    <x v="1"/>
    <x v="1"/>
    <x v="0"/>
    <x v="3"/>
    <x v="2"/>
    <x v="10"/>
    <x v="1"/>
  </r>
  <r>
    <x v="1958"/>
    <x v="10"/>
    <x v="2"/>
    <x v="277"/>
    <n v="175.2"/>
    <x v="71"/>
    <d v="2025-03-15T00:00:00"/>
    <x v="2"/>
    <x v="1"/>
    <x v="2"/>
    <x v="0"/>
    <x v="3"/>
    <x v="1"/>
    <x v="10"/>
    <x v="2"/>
  </r>
  <r>
    <x v="1959"/>
    <x v="7"/>
    <x v="15"/>
    <x v="567"/>
    <n v="548.6"/>
    <x v="71"/>
    <d v="2025-03-13T00:00:00"/>
    <x v="1"/>
    <x v="0"/>
    <x v="0"/>
    <x v="0"/>
    <x v="25"/>
    <x v="7"/>
    <x v="10"/>
    <x v="1"/>
  </r>
  <r>
    <x v="1960"/>
    <x v="6"/>
    <x v="1"/>
    <x v="865"/>
    <n v="304.39999999999998"/>
    <x v="71"/>
    <d v="2025-03-14T00:00:00"/>
    <x v="1"/>
    <x v="4"/>
    <x v="1"/>
    <x v="0"/>
    <x v="25"/>
    <x v="3"/>
    <x v="10"/>
    <x v="1"/>
  </r>
  <r>
    <x v="1961"/>
    <x v="6"/>
    <x v="25"/>
    <x v="866"/>
    <n v="1728"/>
    <x v="71"/>
    <d v="2025-03-14T00:00:00"/>
    <x v="1"/>
    <x v="0"/>
    <x v="1"/>
    <x v="0"/>
    <x v="6"/>
    <x v="3"/>
    <x v="10"/>
    <x v="1"/>
  </r>
  <r>
    <x v="1962"/>
    <x v="1"/>
    <x v="44"/>
    <x v="45"/>
    <n v="1630.7"/>
    <x v="71"/>
    <d v="2025-03-14T00:00:00"/>
    <x v="2"/>
    <x v="2"/>
    <x v="0"/>
    <x v="0"/>
    <x v="8"/>
    <x v="3"/>
    <x v="10"/>
    <x v="2"/>
  </r>
  <r>
    <x v="1963"/>
    <x v="2"/>
    <x v="1"/>
    <x v="526"/>
    <n v="107.4"/>
    <x v="71"/>
    <d v="2025-03-14T00:00:00"/>
    <x v="1"/>
    <x v="2"/>
    <x v="2"/>
    <x v="0"/>
    <x v="8"/>
    <x v="3"/>
    <x v="10"/>
    <x v="1"/>
  </r>
  <r>
    <x v="1964"/>
    <x v="9"/>
    <x v="12"/>
    <x v="429"/>
    <n v="171.6"/>
    <x v="71"/>
    <d v="2025-03-14T00:00:00"/>
    <x v="2"/>
    <x v="2"/>
    <x v="4"/>
    <x v="0"/>
    <x v="9"/>
    <x v="3"/>
    <x v="10"/>
    <x v="2"/>
  </r>
  <r>
    <x v="1965"/>
    <x v="2"/>
    <x v="3"/>
    <x v="867"/>
    <n v="752.5"/>
    <x v="71"/>
    <d v="2025-03-14T00:00:00"/>
    <x v="1"/>
    <x v="1"/>
    <x v="0"/>
    <x v="0"/>
    <x v="11"/>
    <x v="3"/>
    <x v="10"/>
    <x v="1"/>
  </r>
  <r>
    <x v="1966"/>
    <x v="17"/>
    <x v="27"/>
    <x v="332"/>
    <n v="344"/>
    <x v="71"/>
    <d v="2025-03-14T00:00:00"/>
    <x v="1"/>
    <x v="1"/>
    <x v="1"/>
    <x v="0"/>
    <x v="32"/>
    <x v="3"/>
    <x v="10"/>
    <x v="1"/>
  </r>
  <r>
    <x v="1967"/>
    <x v="3"/>
    <x v="9"/>
    <x v="602"/>
    <n v="426.5"/>
    <x v="71"/>
    <d v="2025-03-15T00:00:00"/>
    <x v="2"/>
    <x v="3"/>
    <x v="0"/>
    <x v="0"/>
    <x v="18"/>
    <x v="1"/>
    <x v="10"/>
    <x v="2"/>
  </r>
  <r>
    <x v="1968"/>
    <x v="7"/>
    <x v="9"/>
    <x v="827"/>
    <n v="404"/>
    <x v="71"/>
    <d v="2025-03-21T00:00:00"/>
    <x v="3"/>
    <x v="1"/>
    <x v="1"/>
    <x v="0"/>
    <x v="19"/>
    <x v="9"/>
    <x v="10"/>
    <x v="3"/>
  </r>
  <r>
    <x v="1969"/>
    <x v="2"/>
    <x v="2"/>
    <x v="868"/>
    <n v="369.29999999999995"/>
    <x v="71"/>
    <d v="2025-03-15T00:00:00"/>
    <x v="0"/>
    <x v="2"/>
    <x v="0"/>
    <x v="0"/>
    <x v="21"/>
    <x v="1"/>
    <x v="10"/>
    <x v="0"/>
  </r>
  <r>
    <x v="1970"/>
    <x v="8"/>
    <x v="1"/>
    <x v="711"/>
    <n v="73.8"/>
    <x v="71"/>
    <d v="2025-03-15T00:00:00"/>
    <x v="2"/>
    <x v="2"/>
    <x v="4"/>
    <x v="0"/>
    <x v="51"/>
    <x v="1"/>
    <x v="10"/>
    <x v="2"/>
  </r>
  <r>
    <x v="1971"/>
    <x v="11"/>
    <x v="9"/>
    <x v="152"/>
    <n v="200"/>
    <x v="71"/>
    <d v="2025-03-14T00:00:00"/>
    <x v="1"/>
    <x v="0"/>
    <x v="0"/>
    <x v="0"/>
    <x v="1"/>
    <x v="3"/>
    <x v="10"/>
    <x v="1"/>
  </r>
  <r>
    <x v="1972"/>
    <x v="6"/>
    <x v="2"/>
    <x v="572"/>
    <n v="166.5"/>
    <x v="71"/>
    <d v="2025-03-14T00:00:00"/>
    <x v="1"/>
    <x v="4"/>
    <x v="2"/>
    <x v="0"/>
    <x v="1"/>
    <x v="3"/>
    <x v="10"/>
    <x v="1"/>
  </r>
  <r>
    <x v="1973"/>
    <x v="0"/>
    <x v="12"/>
    <x v="580"/>
    <n v="82"/>
    <x v="71"/>
    <d v="2025-03-17T00:00:00"/>
    <x v="2"/>
    <x v="4"/>
    <x v="0"/>
    <x v="0"/>
    <x v="1"/>
    <x v="5"/>
    <x v="10"/>
    <x v="2"/>
  </r>
  <r>
    <x v="1974"/>
    <x v="18"/>
    <x v="12"/>
    <x v="869"/>
    <n v="200.4"/>
    <x v="71"/>
    <d v="2025-03-14T00:00:00"/>
    <x v="2"/>
    <x v="4"/>
    <x v="0"/>
    <x v="0"/>
    <x v="1"/>
    <x v="3"/>
    <x v="10"/>
    <x v="2"/>
  </r>
  <r>
    <x v="1975"/>
    <x v="9"/>
    <x v="0"/>
    <x v="275"/>
    <n v="35.9"/>
    <x v="71"/>
    <d v="2025-03-15T00:00:00"/>
    <x v="1"/>
    <x v="1"/>
    <x v="2"/>
    <x v="0"/>
    <x v="1"/>
    <x v="1"/>
    <x v="10"/>
    <x v="1"/>
  </r>
  <r>
    <x v="1976"/>
    <x v="13"/>
    <x v="12"/>
    <x v="647"/>
    <n v="117.6"/>
    <x v="72"/>
    <d v="2025-03-15T00:00:00"/>
    <x v="1"/>
    <x v="2"/>
    <x v="2"/>
    <x v="0"/>
    <x v="33"/>
    <x v="3"/>
    <x v="10"/>
    <x v="1"/>
  </r>
  <r>
    <x v="1977"/>
    <x v="8"/>
    <x v="9"/>
    <x v="581"/>
    <n v="145.5"/>
    <x v="72"/>
    <d v="2025-03-22T00:00:00"/>
    <x v="3"/>
    <x v="2"/>
    <x v="1"/>
    <x v="0"/>
    <x v="33"/>
    <x v="9"/>
    <x v="10"/>
    <x v="3"/>
  </r>
  <r>
    <x v="1978"/>
    <x v="8"/>
    <x v="2"/>
    <x v="232"/>
    <n v="100.5"/>
    <x v="72"/>
    <d v="2025-03-26T00:00:00"/>
    <x v="1"/>
    <x v="0"/>
    <x v="2"/>
    <x v="0"/>
    <x v="22"/>
    <x v="13"/>
    <x v="10"/>
    <x v="1"/>
  </r>
  <r>
    <x v="1979"/>
    <x v="4"/>
    <x v="7"/>
    <x v="307"/>
    <n v="360"/>
    <x v="72"/>
    <d v="2025-03-14T00:00:00"/>
    <x v="1"/>
    <x v="3"/>
    <x v="2"/>
    <x v="0"/>
    <x v="3"/>
    <x v="7"/>
    <x v="10"/>
    <x v="1"/>
  </r>
  <r>
    <x v="1980"/>
    <x v="16"/>
    <x v="2"/>
    <x v="405"/>
    <n v="171.89999999999998"/>
    <x v="72"/>
    <d v="2025-03-18T00:00:00"/>
    <x v="2"/>
    <x v="0"/>
    <x v="2"/>
    <x v="0"/>
    <x v="3"/>
    <x v="5"/>
    <x v="10"/>
    <x v="2"/>
  </r>
  <r>
    <x v="1981"/>
    <x v="1"/>
    <x v="0"/>
    <x v="870"/>
    <n v="81.400000000000006"/>
    <x v="72"/>
    <d v="2025-03-15T00:00:00"/>
    <x v="2"/>
    <x v="2"/>
    <x v="2"/>
    <x v="0"/>
    <x v="3"/>
    <x v="3"/>
    <x v="10"/>
    <x v="2"/>
  </r>
  <r>
    <x v="1982"/>
    <x v="10"/>
    <x v="1"/>
    <x v="341"/>
    <n v="70.599999999999994"/>
    <x v="72"/>
    <d v="2025-03-18T00:00:00"/>
    <x v="1"/>
    <x v="0"/>
    <x v="2"/>
    <x v="0"/>
    <x v="3"/>
    <x v="5"/>
    <x v="10"/>
    <x v="1"/>
  </r>
  <r>
    <x v="1983"/>
    <x v="3"/>
    <x v="0"/>
    <x v="160"/>
    <n v="36.1"/>
    <x v="72"/>
    <d v="2025-03-15T00:00:00"/>
    <x v="2"/>
    <x v="4"/>
    <x v="0"/>
    <x v="0"/>
    <x v="3"/>
    <x v="3"/>
    <x v="10"/>
    <x v="2"/>
  </r>
  <r>
    <x v="1984"/>
    <x v="1"/>
    <x v="1"/>
    <x v="294"/>
    <n v="73.400000000000006"/>
    <x v="72"/>
    <d v="2025-03-16T00:00:00"/>
    <x v="2"/>
    <x v="0"/>
    <x v="2"/>
    <x v="0"/>
    <x v="3"/>
    <x v="1"/>
    <x v="10"/>
    <x v="2"/>
  </r>
  <r>
    <x v="1985"/>
    <x v="10"/>
    <x v="0"/>
    <x v="588"/>
    <n v="20.9"/>
    <x v="72"/>
    <d v="2025-03-16T00:00:00"/>
    <x v="2"/>
    <x v="0"/>
    <x v="4"/>
    <x v="0"/>
    <x v="3"/>
    <x v="1"/>
    <x v="10"/>
    <x v="2"/>
  </r>
  <r>
    <x v="1986"/>
    <x v="12"/>
    <x v="2"/>
    <x v="466"/>
    <n v="176.39999999999998"/>
    <x v="72"/>
    <d v="2025-03-18T00:00:00"/>
    <x v="1"/>
    <x v="0"/>
    <x v="2"/>
    <x v="0"/>
    <x v="25"/>
    <x v="5"/>
    <x v="10"/>
    <x v="1"/>
  </r>
  <r>
    <x v="1987"/>
    <x v="2"/>
    <x v="2"/>
    <x v="871"/>
    <n v="292.79999999999995"/>
    <x v="73"/>
    <d v="2025-03-17T00:00:00"/>
    <x v="0"/>
    <x v="0"/>
    <x v="0"/>
    <x v="0"/>
    <x v="6"/>
    <x v="1"/>
    <x v="10"/>
    <x v="0"/>
  </r>
  <r>
    <x v="1988"/>
    <x v="1"/>
    <x v="1"/>
    <x v="785"/>
    <n v="117.4"/>
    <x v="73"/>
    <d v="2025-03-18T00:00:00"/>
    <x v="2"/>
    <x v="0"/>
    <x v="1"/>
    <x v="0"/>
    <x v="6"/>
    <x v="2"/>
    <x v="10"/>
    <x v="2"/>
  </r>
  <r>
    <x v="1989"/>
    <x v="6"/>
    <x v="9"/>
    <x v="774"/>
    <n v="359.5"/>
    <x v="73"/>
    <d v="2025-03-16T00:00:00"/>
    <x v="0"/>
    <x v="0"/>
    <x v="1"/>
    <x v="0"/>
    <x v="6"/>
    <x v="3"/>
    <x v="10"/>
    <x v="0"/>
  </r>
  <r>
    <x v="1990"/>
    <x v="1"/>
    <x v="1"/>
    <x v="470"/>
    <n v="124.8"/>
    <x v="73"/>
    <d v="2025-03-17T00:00:00"/>
    <x v="0"/>
    <x v="0"/>
    <x v="1"/>
    <x v="0"/>
    <x v="8"/>
    <x v="1"/>
    <x v="10"/>
    <x v="0"/>
  </r>
  <r>
    <x v="1991"/>
    <x v="6"/>
    <x v="27"/>
    <x v="589"/>
    <n v="860.8"/>
    <x v="73"/>
    <d v="2025-03-16T00:00:00"/>
    <x v="2"/>
    <x v="1"/>
    <x v="0"/>
    <x v="0"/>
    <x v="8"/>
    <x v="3"/>
    <x v="10"/>
    <x v="2"/>
  </r>
  <r>
    <x v="1992"/>
    <x v="9"/>
    <x v="0"/>
    <x v="20"/>
    <n v="43.8"/>
    <x v="73"/>
    <d v="2025-03-22T00:00:00"/>
    <x v="2"/>
    <x v="0"/>
    <x v="2"/>
    <x v="0"/>
    <x v="8"/>
    <x v="6"/>
    <x v="10"/>
    <x v="2"/>
  </r>
  <r>
    <x v="1993"/>
    <x v="5"/>
    <x v="2"/>
    <x v="582"/>
    <n v="160.80000000000001"/>
    <x v="73"/>
    <d v="2025-03-16T00:00:00"/>
    <x v="1"/>
    <x v="3"/>
    <x v="0"/>
    <x v="0"/>
    <x v="8"/>
    <x v="3"/>
    <x v="10"/>
    <x v="1"/>
  </r>
  <r>
    <x v="1994"/>
    <x v="12"/>
    <x v="1"/>
    <x v="872"/>
    <n v="168.6"/>
    <x v="73"/>
    <d v="2025-03-18T00:00:00"/>
    <x v="1"/>
    <x v="4"/>
    <x v="1"/>
    <x v="0"/>
    <x v="8"/>
    <x v="2"/>
    <x v="10"/>
    <x v="1"/>
  </r>
  <r>
    <x v="1995"/>
    <x v="6"/>
    <x v="11"/>
    <x v="873"/>
    <n v="1061.1000000000001"/>
    <x v="73"/>
    <d v="2025-03-16T00:00:00"/>
    <x v="2"/>
    <x v="1"/>
    <x v="2"/>
    <x v="0"/>
    <x v="8"/>
    <x v="3"/>
    <x v="10"/>
    <x v="2"/>
  </r>
  <r>
    <x v="1996"/>
    <x v="4"/>
    <x v="8"/>
    <x v="500"/>
    <n v="240"/>
    <x v="73"/>
    <d v="2025-03-16T00:00:00"/>
    <x v="2"/>
    <x v="1"/>
    <x v="0"/>
    <x v="0"/>
    <x v="26"/>
    <x v="3"/>
    <x v="10"/>
    <x v="2"/>
  </r>
  <r>
    <x v="1997"/>
    <x v="14"/>
    <x v="2"/>
    <x v="105"/>
    <n v="111.89999999999999"/>
    <x v="73"/>
    <d v="2025-03-16T00:00:00"/>
    <x v="1"/>
    <x v="2"/>
    <x v="0"/>
    <x v="0"/>
    <x v="9"/>
    <x v="3"/>
    <x v="10"/>
    <x v="1"/>
  </r>
  <r>
    <x v="1998"/>
    <x v="4"/>
    <x v="11"/>
    <x v="403"/>
    <n v="225.9"/>
    <x v="73"/>
    <d v="2025-03-17T00:00:00"/>
    <x v="1"/>
    <x v="1"/>
    <x v="2"/>
    <x v="0"/>
    <x v="11"/>
    <x v="1"/>
    <x v="10"/>
    <x v="1"/>
  </r>
  <r>
    <x v="1999"/>
    <x v="8"/>
    <x v="5"/>
    <x v="307"/>
    <n v="396"/>
    <x v="73"/>
    <d v="2025-03-25T00:00:00"/>
    <x v="1"/>
    <x v="1"/>
    <x v="0"/>
    <x v="0"/>
    <x v="18"/>
    <x v="14"/>
    <x v="10"/>
    <x v="1"/>
  </r>
  <r>
    <x v="2000"/>
    <x v="16"/>
    <x v="2"/>
    <x v="286"/>
    <n v="145.5"/>
    <x v="73"/>
    <d v="2025-03-19T00:00:00"/>
    <x v="2"/>
    <x v="1"/>
    <x v="0"/>
    <x v="0"/>
    <x v="19"/>
    <x v="5"/>
    <x v="10"/>
    <x v="2"/>
  </r>
  <r>
    <x v="2001"/>
    <x v="17"/>
    <x v="13"/>
    <x v="438"/>
    <n v="126.60000000000001"/>
    <x v="73"/>
    <d v="2025-03-16T00:00:00"/>
    <x v="1"/>
    <x v="1"/>
    <x v="2"/>
    <x v="0"/>
    <x v="21"/>
    <x v="3"/>
    <x v="10"/>
    <x v="1"/>
  </r>
  <r>
    <x v="2002"/>
    <x v="15"/>
    <x v="21"/>
    <x v="522"/>
    <n v="604.80000000000007"/>
    <x v="73"/>
    <d v="2025-03-16T00:00:00"/>
    <x v="3"/>
    <x v="0"/>
    <x v="1"/>
    <x v="0"/>
    <x v="21"/>
    <x v="3"/>
    <x v="10"/>
    <x v="3"/>
  </r>
  <r>
    <x v="2003"/>
    <x v="9"/>
    <x v="1"/>
    <x v="438"/>
    <n v="42.2"/>
    <x v="73"/>
    <d v="2025-03-16T00:00:00"/>
    <x v="0"/>
    <x v="3"/>
    <x v="1"/>
    <x v="0"/>
    <x v="21"/>
    <x v="3"/>
    <x v="10"/>
    <x v="0"/>
  </r>
  <r>
    <x v="2004"/>
    <x v="6"/>
    <x v="12"/>
    <x v="397"/>
    <n v="165.2"/>
    <x v="73"/>
    <d v="2025-03-17T00:00:00"/>
    <x v="2"/>
    <x v="3"/>
    <x v="2"/>
    <x v="0"/>
    <x v="1"/>
    <x v="1"/>
    <x v="10"/>
    <x v="2"/>
  </r>
  <r>
    <x v="2005"/>
    <x v="8"/>
    <x v="1"/>
    <x v="678"/>
    <n v="30.6"/>
    <x v="73"/>
    <d v="2025-03-18T00:00:00"/>
    <x v="0"/>
    <x v="2"/>
    <x v="2"/>
    <x v="0"/>
    <x v="1"/>
    <x v="2"/>
    <x v="10"/>
    <x v="0"/>
  </r>
  <r>
    <x v="2006"/>
    <x v="1"/>
    <x v="0"/>
    <x v="514"/>
    <n v="54.6"/>
    <x v="73"/>
    <d v="2025-03-17T00:00:00"/>
    <x v="1"/>
    <x v="1"/>
    <x v="1"/>
    <x v="0"/>
    <x v="2"/>
    <x v="1"/>
    <x v="10"/>
    <x v="1"/>
  </r>
  <r>
    <x v="2007"/>
    <x v="8"/>
    <x v="0"/>
    <x v="496"/>
    <n v="15.9"/>
    <x v="73"/>
    <d v="2025-03-16T00:00:00"/>
    <x v="1"/>
    <x v="0"/>
    <x v="1"/>
    <x v="0"/>
    <x v="22"/>
    <x v="3"/>
    <x v="10"/>
    <x v="1"/>
  </r>
  <r>
    <x v="2008"/>
    <x v="9"/>
    <x v="0"/>
    <x v="534"/>
    <n v="50.2"/>
    <x v="73"/>
    <d v="2025-03-17T00:00:00"/>
    <x v="2"/>
    <x v="3"/>
    <x v="2"/>
    <x v="0"/>
    <x v="34"/>
    <x v="1"/>
    <x v="10"/>
    <x v="2"/>
  </r>
  <r>
    <x v="2009"/>
    <x v="11"/>
    <x v="12"/>
    <x v="874"/>
    <n v="340.4"/>
    <x v="73"/>
    <d v="2025-03-16T00:00:00"/>
    <x v="2"/>
    <x v="3"/>
    <x v="4"/>
    <x v="0"/>
    <x v="34"/>
    <x v="3"/>
    <x v="10"/>
    <x v="2"/>
  </r>
  <r>
    <x v="2010"/>
    <x v="11"/>
    <x v="1"/>
    <x v="50"/>
    <n v="82.8"/>
    <x v="73"/>
    <d v="2025-03-16T00:00:00"/>
    <x v="2"/>
    <x v="0"/>
    <x v="2"/>
    <x v="0"/>
    <x v="3"/>
    <x v="3"/>
    <x v="10"/>
    <x v="2"/>
  </r>
  <r>
    <x v="2011"/>
    <x v="4"/>
    <x v="3"/>
    <x v="195"/>
    <n v="228.90000000000003"/>
    <x v="73"/>
    <d v="2025-03-16T00:00:00"/>
    <x v="2"/>
    <x v="2"/>
    <x v="1"/>
    <x v="0"/>
    <x v="3"/>
    <x v="3"/>
    <x v="10"/>
    <x v="2"/>
  </r>
  <r>
    <x v="2012"/>
    <x v="4"/>
    <x v="1"/>
    <x v="654"/>
    <n v="83.2"/>
    <x v="73"/>
    <d v="2025-03-17T00:00:00"/>
    <x v="1"/>
    <x v="4"/>
    <x v="1"/>
    <x v="0"/>
    <x v="3"/>
    <x v="1"/>
    <x v="10"/>
    <x v="1"/>
  </r>
  <r>
    <x v="2013"/>
    <x v="5"/>
    <x v="12"/>
    <x v="497"/>
    <n v="259.2"/>
    <x v="73"/>
    <d v="2025-03-16T00:00:00"/>
    <x v="0"/>
    <x v="2"/>
    <x v="0"/>
    <x v="0"/>
    <x v="3"/>
    <x v="3"/>
    <x v="10"/>
    <x v="0"/>
  </r>
  <r>
    <x v="2014"/>
    <x v="15"/>
    <x v="1"/>
    <x v="570"/>
    <n v="67.2"/>
    <x v="73"/>
    <d v="2025-03-16T00:00:00"/>
    <x v="1"/>
    <x v="0"/>
    <x v="2"/>
    <x v="0"/>
    <x v="3"/>
    <x v="3"/>
    <x v="10"/>
    <x v="1"/>
  </r>
  <r>
    <x v="2015"/>
    <x v="6"/>
    <x v="2"/>
    <x v="875"/>
    <n v="302.10000000000002"/>
    <x v="73"/>
    <d v="2025-03-16T00:00:00"/>
    <x v="0"/>
    <x v="1"/>
    <x v="0"/>
    <x v="0"/>
    <x v="3"/>
    <x v="3"/>
    <x v="10"/>
    <x v="0"/>
  </r>
  <r>
    <x v="2016"/>
    <x v="4"/>
    <x v="1"/>
    <x v="660"/>
    <n v="98.6"/>
    <x v="74"/>
    <d v="2025-03-18T00:00:00"/>
    <x v="2"/>
    <x v="4"/>
    <x v="2"/>
    <x v="0"/>
    <x v="3"/>
    <x v="1"/>
    <x v="11"/>
    <x v="2"/>
  </r>
  <r>
    <x v="2017"/>
    <x v="2"/>
    <x v="13"/>
    <x v="876"/>
    <n v="582"/>
    <x v="74"/>
    <d v="2025-03-19T00:00:00"/>
    <x v="1"/>
    <x v="2"/>
    <x v="2"/>
    <x v="0"/>
    <x v="3"/>
    <x v="2"/>
    <x v="11"/>
    <x v="1"/>
  </r>
  <r>
    <x v="2018"/>
    <x v="0"/>
    <x v="13"/>
    <x v="19"/>
    <n v="151.19999999999999"/>
    <x v="74"/>
    <d v="2025-03-19T00:00:00"/>
    <x v="2"/>
    <x v="4"/>
    <x v="2"/>
    <x v="0"/>
    <x v="3"/>
    <x v="2"/>
    <x v="11"/>
    <x v="2"/>
  </r>
  <r>
    <x v="2019"/>
    <x v="0"/>
    <x v="5"/>
    <x v="877"/>
    <n v="134.19999999999999"/>
    <x v="74"/>
    <d v="2025-03-17T00:00:00"/>
    <x v="0"/>
    <x v="0"/>
    <x v="1"/>
    <x v="0"/>
    <x v="3"/>
    <x v="3"/>
    <x v="11"/>
    <x v="0"/>
  </r>
  <r>
    <x v="2020"/>
    <x v="8"/>
    <x v="3"/>
    <x v="665"/>
    <n v="271.59999999999997"/>
    <x v="74"/>
    <d v="2025-03-18T00:00:00"/>
    <x v="2"/>
    <x v="1"/>
    <x v="1"/>
    <x v="0"/>
    <x v="23"/>
    <x v="1"/>
    <x v="11"/>
    <x v="2"/>
  </r>
  <r>
    <x v="2021"/>
    <x v="2"/>
    <x v="12"/>
    <x v="459"/>
    <n v="212.8"/>
    <x v="74"/>
    <d v="2025-03-17T00:00:00"/>
    <x v="1"/>
    <x v="0"/>
    <x v="2"/>
    <x v="0"/>
    <x v="8"/>
    <x v="3"/>
    <x v="11"/>
    <x v="1"/>
  </r>
  <r>
    <x v="2022"/>
    <x v="6"/>
    <x v="3"/>
    <x v="878"/>
    <n v="1057"/>
    <x v="74"/>
    <d v="2025-03-17T00:00:00"/>
    <x v="3"/>
    <x v="1"/>
    <x v="1"/>
    <x v="0"/>
    <x v="8"/>
    <x v="3"/>
    <x v="11"/>
    <x v="3"/>
  </r>
  <r>
    <x v="2023"/>
    <x v="1"/>
    <x v="1"/>
    <x v="719"/>
    <n v="74.2"/>
    <x v="74"/>
    <d v="2025-03-17T00:00:00"/>
    <x v="2"/>
    <x v="4"/>
    <x v="0"/>
    <x v="0"/>
    <x v="8"/>
    <x v="3"/>
    <x v="11"/>
    <x v="2"/>
  </r>
  <r>
    <x v="2024"/>
    <x v="5"/>
    <x v="1"/>
    <x v="400"/>
    <n v="77.8"/>
    <x v="74"/>
    <d v="2025-03-17T00:00:00"/>
    <x v="1"/>
    <x v="4"/>
    <x v="0"/>
    <x v="0"/>
    <x v="8"/>
    <x v="3"/>
    <x v="11"/>
    <x v="1"/>
  </r>
  <r>
    <x v="2025"/>
    <x v="10"/>
    <x v="1"/>
    <x v="200"/>
    <n v="70.400000000000006"/>
    <x v="74"/>
    <d v="2025-03-17T00:00:00"/>
    <x v="1"/>
    <x v="0"/>
    <x v="2"/>
    <x v="0"/>
    <x v="17"/>
    <x v="3"/>
    <x v="11"/>
    <x v="1"/>
  </r>
  <r>
    <x v="2026"/>
    <x v="0"/>
    <x v="1"/>
    <x v="208"/>
    <n v="44.6"/>
    <x v="74"/>
    <d v="2025-03-18T00:00:00"/>
    <x v="2"/>
    <x v="1"/>
    <x v="0"/>
    <x v="0"/>
    <x v="9"/>
    <x v="1"/>
    <x v="11"/>
    <x v="2"/>
  </r>
  <r>
    <x v="2027"/>
    <x v="9"/>
    <x v="0"/>
    <x v="705"/>
    <n v="43.3"/>
    <x v="74"/>
    <d v="2025-03-19T00:00:00"/>
    <x v="2"/>
    <x v="0"/>
    <x v="2"/>
    <x v="0"/>
    <x v="11"/>
    <x v="2"/>
    <x v="11"/>
    <x v="2"/>
  </r>
  <r>
    <x v="2028"/>
    <x v="6"/>
    <x v="13"/>
    <x v="836"/>
    <n v="455.40000000000003"/>
    <x v="74"/>
    <d v="2025-03-22T00:00:00"/>
    <x v="1"/>
    <x v="0"/>
    <x v="0"/>
    <x v="0"/>
    <x v="11"/>
    <x v="4"/>
    <x v="11"/>
    <x v="1"/>
  </r>
  <r>
    <x v="2029"/>
    <x v="6"/>
    <x v="2"/>
    <x v="685"/>
    <n v="236.10000000000002"/>
    <x v="74"/>
    <d v="2025-03-20T00:00:00"/>
    <x v="2"/>
    <x v="2"/>
    <x v="1"/>
    <x v="0"/>
    <x v="11"/>
    <x v="5"/>
    <x v="11"/>
    <x v="2"/>
  </r>
  <r>
    <x v="2030"/>
    <x v="1"/>
    <x v="0"/>
    <x v="730"/>
    <n v="66.3"/>
    <x v="74"/>
    <d v="2025-03-20T00:00:00"/>
    <x v="2"/>
    <x v="0"/>
    <x v="2"/>
    <x v="0"/>
    <x v="19"/>
    <x v="5"/>
    <x v="11"/>
    <x v="2"/>
  </r>
  <r>
    <x v="2031"/>
    <x v="8"/>
    <x v="1"/>
    <x v="570"/>
    <n v="67.2"/>
    <x v="74"/>
    <d v="2025-03-16T00:00:00"/>
    <x v="1"/>
    <x v="0"/>
    <x v="1"/>
    <x v="0"/>
    <x v="19"/>
    <x v="7"/>
    <x v="11"/>
    <x v="1"/>
  </r>
  <r>
    <x v="2032"/>
    <x v="2"/>
    <x v="3"/>
    <x v="854"/>
    <n v="429.8"/>
    <x v="74"/>
    <d v="2025-03-17T00:00:00"/>
    <x v="1"/>
    <x v="4"/>
    <x v="0"/>
    <x v="0"/>
    <x v="19"/>
    <x v="3"/>
    <x v="11"/>
    <x v="1"/>
  </r>
  <r>
    <x v="2033"/>
    <x v="8"/>
    <x v="1"/>
    <x v="25"/>
    <n v="35"/>
    <x v="74"/>
    <d v="2025-03-19T00:00:00"/>
    <x v="2"/>
    <x v="0"/>
    <x v="0"/>
    <x v="0"/>
    <x v="21"/>
    <x v="2"/>
    <x v="11"/>
    <x v="2"/>
  </r>
  <r>
    <x v="2034"/>
    <x v="8"/>
    <x v="1"/>
    <x v="504"/>
    <n v="65"/>
    <x v="74"/>
    <d v="2025-03-19T00:00:00"/>
    <x v="2"/>
    <x v="1"/>
    <x v="0"/>
    <x v="0"/>
    <x v="21"/>
    <x v="2"/>
    <x v="11"/>
    <x v="2"/>
  </r>
  <r>
    <x v="2035"/>
    <x v="4"/>
    <x v="0"/>
    <x v="292"/>
    <n v="34.6"/>
    <x v="74"/>
    <d v="2025-03-17T00:00:00"/>
    <x v="2"/>
    <x v="4"/>
    <x v="0"/>
    <x v="0"/>
    <x v="21"/>
    <x v="3"/>
    <x v="11"/>
    <x v="2"/>
  </r>
  <r>
    <x v="2036"/>
    <x v="2"/>
    <x v="0"/>
    <x v="836"/>
    <n v="75.900000000000006"/>
    <x v="74"/>
    <d v="2025-03-16T00:00:00"/>
    <x v="1"/>
    <x v="1"/>
    <x v="2"/>
    <x v="0"/>
    <x v="21"/>
    <x v="7"/>
    <x v="11"/>
    <x v="1"/>
  </r>
  <r>
    <x v="2037"/>
    <x v="1"/>
    <x v="2"/>
    <x v="624"/>
    <n v="126.30000000000001"/>
    <x v="74"/>
    <d v="2025-03-19T00:00:00"/>
    <x v="1"/>
    <x v="1"/>
    <x v="1"/>
    <x v="0"/>
    <x v="21"/>
    <x v="2"/>
    <x v="11"/>
    <x v="1"/>
  </r>
  <r>
    <x v="2038"/>
    <x v="7"/>
    <x v="2"/>
    <x v="225"/>
    <n v="195.89999999999998"/>
    <x v="74"/>
    <d v="2025-03-23T00:00:00"/>
    <x v="1"/>
    <x v="0"/>
    <x v="0"/>
    <x v="0"/>
    <x v="1"/>
    <x v="6"/>
    <x v="11"/>
    <x v="1"/>
  </r>
  <r>
    <x v="2039"/>
    <x v="15"/>
    <x v="0"/>
    <x v="468"/>
    <n v="20.6"/>
    <x v="74"/>
    <d v="2025-03-19T00:00:00"/>
    <x v="1"/>
    <x v="3"/>
    <x v="0"/>
    <x v="0"/>
    <x v="42"/>
    <x v="2"/>
    <x v="11"/>
    <x v="1"/>
  </r>
  <r>
    <x v="2040"/>
    <x v="8"/>
    <x v="3"/>
    <x v="879"/>
    <n v="115.5"/>
    <x v="74"/>
    <d v="2025-03-17T00:00:00"/>
    <x v="1"/>
    <x v="1"/>
    <x v="1"/>
    <x v="0"/>
    <x v="2"/>
    <x v="3"/>
    <x v="11"/>
    <x v="1"/>
  </r>
  <r>
    <x v="2041"/>
    <x v="16"/>
    <x v="7"/>
    <x v="310"/>
    <n v="362"/>
    <x v="74"/>
    <d v="2025-03-18T00:00:00"/>
    <x v="1"/>
    <x v="0"/>
    <x v="2"/>
    <x v="0"/>
    <x v="2"/>
    <x v="1"/>
    <x v="11"/>
    <x v="1"/>
  </r>
  <r>
    <x v="2042"/>
    <x v="6"/>
    <x v="0"/>
    <x v="459"/>
    <n v="53.2"/>
    <x v="74"/>
    <d v="2025-03-17T00:00:00"/>
    <x v="2"/>
    <x v="0"/>
    <x v="1"/>
    <x v="0"/>
    <x v="22"/>
    <x v="3"/>
    <x v="11"/>
    <x v="2"/>
  </r>
  <r>
    <x v="2043"/>
    <x v="2"/>
    <x v="21"/>
    <x v="880"/>
    <n v="2464"/>
    <x v="74"/>
    <d v="2025-03-17T00:00:00"/>
    <x v="2"/>
    <x v="0"/>
    <x v="1"/>
    <x v="0"/>
    <x v="3"/>
    <x v="3"/>
    <x v="11"/>
    <x v="2"/>
  </r>
  <r>
    <x v="2044"/>
    <x v="1"/>
    <x v="0"/>
    <x v="515"/>
    <n v="52.4"/>
    <x v="74"/>
    <d v="2025-03-17T00:00:00"/>
    <x v="1"/>
    <x v="1"/>
    <x v="0"/>
    <x v="0"/>
    <x v="3"/>
    <x v="3"/>
    <x v="11"/>
    <x v="1"/>
  </r>
  <r>
    <x v="2045"/>
    <x v="10"/>
    <x v="2"/>
    <x v="297"/>
    <n v="144.60000000000002"/>
    <x v="74"/>
    <d v="2025-03-17T00:00:00"/>
    <x v="2"/>
    <x v="1"/>
    <x v="2"/>
    <x v="0"/>
    <x v="3"/>
    <x v="3"/>
    <x v="11"/>
    <x v="2"/>
  </r>
  <r>
    <x v="2046"/>
    <x v="15"/>
    <x v="0"/>
    <x v="728"/>
    <n v="51.6"/>
    <x v="74"/>
    <d v="2025-03-20T00:00:00"/>
    <x v="2"/>
    <x v="2"/>
    <x v="1"/>
    <x v="0"/>
    <x v="3"/>
    <x v="5"/>
    <x v="11"/>
    <x v="2"/>
  </r>
  <r>
    <x v="2047"/>
    <x v="0"/>
    <x v="12"/>
    <x v="532"/>
    <n v="134.80000000000001"/>
    <x v="75"/>
    <d v="2025-03-18T00:00:00"/>
    <x v="1"/>
    <x v="0"/>
    <x v="0"/>
    <x v="0"/>
    <x v="3"/>
    <x v="3"/>
    <x v="11"/>
    <x v="1"/>
  </r>
  <r>
    <x v="2048"/>
    <x v="4"/>
    <x v="7"/>
    <x v="791"/>
    <n v="363"/>
    <x v="75"/>
    <d v="2025-03-19T00:00:00"/>
    <x v="2"/>
    <x v="4"/>
    <x v="1"/>
    <x v="0"/>
    <x v="3"/>
    <x v="1"/>
    <x v="11"/>
    <x v="2"/>
  </r>
  <r>
    <x v="2049"/>
    <x v="8"/>
    <x v="0"/>
    <x v="139"/>
    <n v="23.4"/>
    <x v="75"/>
    <d v="2025-03-22T00:00:00"/>
    <x v="2"/>
    <x v="1"/>
    <x v="2"/>
    <x v="0"/>
    <x v="3"/>
    <x v="0"/>
    <x v="11"/>
    <x v="2"/>
  </r>
  <r>
    <x v="2050"/>
    <x v="15"/>
    <x v="8"/>
    <x v="472"/>
    <n v="452.8"/>
    <x v="75"/>
    <d v="2025-03-19T00:00:00"/>
    <x v="2"/>
    <x v="1"/>
    <x v="0"/>
    <x v="0"/>
    <x v="3"/>
    <x v="1"/>
    <x v="11"/>
    <x v="2"/>
  </r>
  <r>
    <x v="2051"/>
    <x v="15"/>
    <x v="1"/>
    <x v="48"/>
    <n v="53.6"/>
    <x v="75"/>
    <d v="2025-03-18T00:00:00"/>
    <x v="1"/>
    <x v="0"/>
    <x v="0"/>
    <x v="0"/>
    <x v="4"/>
    <x v="3"/>
    <x v="11"/>
    <x v="1"/>
  </r>
  <r>
    <x v="2052"/>
    <x v="0"/>
    <x v="2"/>
    <x v="229"/>
    <n v="33.900000000000006"/>
    <x v="75"/>
    <d v="2025-03-19T00:00:00"/>
    <x v="1"/>
    <x v="2"/>
    <x v="0"/>
    <x v="0"/>
    <x v="25"/>
    <x v="1"/>
    <x v="11"/>
    <x v="1"/>
  </r>
  <r>
    <x v="2053"/>
    <x v="6"/>
    <x v="2"/>
    <x v="110"/>
    <n v="180.3"/>
    <x v="75"/>
    <d v="2025-03-20T00:00:00"/>
    <x v="2"/>
    <x v="0"/>
    <x v="0"/>
    <x v="0"/>
    <x v="7"/>
    <x v="2"/>
    <x v="11"/>
    <x v="2"/>
  </r>
  <r>
    <x v="2054"/>
    <x v="0"/>
    <x v="5"/>
    <x v="389"/>
    <n v="304.7"/>
    <x v="75"/>
    <d v="2025-03-22T00:00:00"/>
    <x v="2"/>
    <x v="0"/>
    <x v="0"/>
    <x v="0"/>
    <x v="8"/>
    <x v="0"/>
    <x v="11"/>
    <x v="2"/>
  </r>
  <r>
    <x v="2055"/>
    <x v="15"/>
    <x v="0"/>
    <x v="254"/>
    <n v="71.400000000000006"/>
    <x v="75"/>
    <d v="2025-03-20T00:00:00"/>
    <x v="1"/>
    <x v="0"/>
    <x v="2"/>
    <x v="0"/>
    <x v="8"/>
    <x v="2"/>
    <x v="11"/>
    <x v="1"/>
  </r>
  <r>
    <x v="2056"/>
    <x v="2"/>
    <x v="1"/>
    <x v="14"/>
    <n v="133.4"/>
    <x v="75"/>
    <d v="2025-03-18T00:00:00"/>
    <x v="2"/>
    <x v="0"/>
    <x v="2"/>
    <x v="0"/>
    <x v="8"/>
    <x v="3"/>
    <x v="11"/>
    <x v="2"/>
  </r>
  <r>
    <x v="2057"/>
    <x v="13"/>
    <x v="9"/>
    <x v="644"/>
    <n v="195.5"/>
    <x v="75"/>
    <d v="2025-03-18T00:00:00"/>
    <x v="2"/>
    <x v="0"/>
    <x v="0"/>
    <x v="0"/>
    <x v="8"/>
    <x v="3"/>
    <x v="11"/>
    <x v="2"/>
  </r>
  <r>
    <x v="2058"/>
    <x v="8"/>
    <x v="12"/>
    <x v="187"/>
    <n v="99.6"/>
    <x v="75"/>
    <d v="2025-03-22T00:00:00"/>
    <x v="1"/>
    <x v="1"/>
    <x v="2"/>
    <x v="0"/>
    <x v="8"/>
    <x v="0"/>
    <x v="11"/>
    <x v="1"/>
  </r>
  <r>
    <x v="2059"/>
    <x v="5"/>
    <x v="9"/>
    <x v="402"/>
    <n v="146"/>
    <x v="75"/>
    <d v="2025-03-18T00:00:00"/>
    <x v="1"/>
    <x v="0"/>
    <x v="2"/>
    <x v="0"/>
    <x v="17"/>
    <x v="3"/>
    <x v="11"/>
    <x v="1"/>
  </r>
  <r>
    <x v="2060"/>
    <x v="13"/>
    <x v="21"/>
    <x v="805"/>
    <n v="396.2"/>
    <x v="75"/>
    <d v="2025-03-19T00:00:00"/>
    <x v="2"/>
    <x v="1"/>
    <x v="0"/>
    <x v="0"/>
    <x v="11"/>
    <x v="1"/>
    <x v="11"/>
    <x v="2"/>
  </r>
  <r>
    <x v="2061"/>
    <x v="9"/>
    <x v="2"/>
    <x v="256"/>
    <n v="113.39999999999999"/>
    <x v="75"/>
    <d v="2025-03-18T00:00:00"/>
    <x v="2"/>
    <x v="0"/>
    <x v="1"/>
    <x v="0"/>
    <x v="11"/>
    <x v="3"/>
    <x v="11"/>
    <x v="2"/>
  </r>
  <r>
    <x v="2062"/>
    <x v="14"/>
    <x v="3"/>
    <x v="257"/>
    <n v="196.70000000000002"/>
    <x v="75"/>
    <d v="2025-03-23T00:00:00"/>
    <x v="2"/>
    <x v="2"/>
    <x v="0"/>
    <x v="0"/>
    <x v="11"/>
    <x v="4"/>
    <x v="11"/>
    <x v="2"/>
  </r>
  <r>
    <x v="2063"/>
    <x v="1"/>
    <x v="2"/>
    <x v="115"/>
    <n v="179.10000000000002"/>
    <x v="75"/>
    <d v="2025-03-19T00:00:00"/>
    <x v="2"/>
    <x v="2"/>
    <x v="0"/>
    <x v="0"/>
    <x v="11"/>
    <x v="1"/>
    <x v="11"/>
    <x v="2"/>
  </r>
  <r>
    <x v="2064"/>
    <x v="16"/>
    <x v="0"/>
    <x v="774"/>
    <n v="71.900000000000006"/>
    <x v="75"/>
    <d v="2025-03-18T00:00:00"/>
    <x v="1"/>
    <x v="1"/>
    <x v="1"/>
    <x v="0"/>
    <x v="11"/>
    <x v="3"/>
    <x v="11"/>
    <x v="1"/>
  </r>
  <r>
    <x v="2065"/>
    <x v="1"/>
    <x v="1"/>
    <x v="881"/>
    <n v="113.8"/>
    <x v="75"/>
    <d v="2025-03-18T00:00:00"/>
    <x v="1"/>
    <x v="2"/>
    <x v="0"/>
    <x v="0"/>
    <x v="13"/>
    <x v="3"/>
    <x v="11"/>
    <x v="1"/>
  </r>
  <r>
    <x v="2066"/>
    <x v="8"/>
    <x v="1"/>
    <x v="35"/>
    <n v="31.6"/>
    <x v="75"/>
    <d v="2025-03-20T00:00:00"/>
    <x v="2"/>
    <x v="2"/>
    <x v="1"/>
    <x v="0"/>
    <x v="1"/>
    <x v="2"/>
    <x v="11"/>
    <x v="2"/>
  </r>
  <r>
    <x v="2067"/>
    <x v="11"/>
    <x v="12"/>
    <x v="227"/>
    <n v="246.8"/>
    <x v="75"/>
    <d v="2025-03-19T00:00:00"/>
    <x v="2"/>
    <x v="2"/>
    <x v="0"/>
    <x v="0"/>
    <x v="22"/>
    <x v="1"/>
    <x v="11"/>
    <x v="2"/>
  </r>
  <r>
    <x v="2068"/>
    <x v="2"/>
    <x v="7"/>
    <x v="882"/>
    <n v="1052"/>
    <x v="75"/>
    <d v="2025-03-19T00:00:00"/>
    <x v="1"/>
    <x v="1"/>
    <x v="4"/>
    <x v="0"/>
    <x v="3"/>
    <x v="1"/>
    <x v="11"/>
    <x v="1"/>
  </r>
  <r>
    <x v="2069"/>
    <x v="0"/>
    <x v="1"/>
    <x v="771"/>
    <n v="34"/>
    <x v="75"/>
    <d v="2025-03-19T00:00:00"/>
    <x v="2"/>
    <x v="2"/>
    <x v="0"/>
    <x v="0"/>
    <x v="3"/>
    <x v="1"/>
    <x v="11"/>
    <x v="2"/>
  </r>
  <r>
    <x v="2070"/>
    <x v="6"/>
    <x v="2"/>
    <x v="883"/>
    <n v="252.29999999999998"/>
    <x v="75"/>
    <d v="2025-03-18T00:00:00"/>
    <x v="1"/>
    <x v="2"/>
    <x v="0"/>
    <x v="0"/>
    <x v="3"/>
    <x v="3"/>
    <x v="11"/>
    <x v="1"/>
  </r>
  <r>
    <x v="2071"/>
    <x v="3"/>
    <x v="12"/>
    <x v="233"/>
    <n v="238"/>
    <x v="75"/>
    <d v="2025-03-22T00:00:00"/>
    <x v="1"/>
    <x v="0"/>
    <x v="2"/>
    <x v="0"/>
    <x v="3"/>
    <x v="0"/>
    <x v="11"/>
    <x v="1"/>
  </r>
  <r>
    <x v="2072"/>
    <x v="8"/>
    <x v="1"/>
    <x v="884"/>
    <n v="115"/>
    <x v="75"/>
    <d v="2025-03-19T00:00:00"/>
    <x v="1"/>
    <x v="1"/>
    <x v="2"/>
    <x v="0"/>
    <x v="3"/>
    <x v="1"/>
    <x v="11"/>
    <x v="1"/>
  </r>
  <r>
    <x v="2073"/>
    <x v="8"/>
    <x v="0"/>
    <x v="695"/>
    <n v="34.299999999999997"/>
    <x v="75"/>
    <d v="2025-03-18T00:00:00"/>
    <x v="2"/>
    <x v="4"/>
    <x v="2"/>
    <x v="0"/>
    <x v="3"/>
    <x v="3"/>
    <x v="11"/>
    <x v="2"/>
  </r>
  <r>
    <x v="2074"/>
    <x v="5"/>
    <x v="1"/>
    <x v="646"/>
    <n v="55.6"/>
    <x v="76"/>
    <d v="2025-03-20T00:00:00"/>
    <x v="2"/>
    <x v="0"/>
    <x v="0"/>
    <x v="0"/>
    <x v="3"/>
    <x v="1"/>
    <x v="11"/>
    <x v="2"/>
  </r>
  <r>
    <x v="2075"/>
    <x v="12"/>
    <x v="1"/>
    <x v="345"/>
    <n v="170"/>
    <x v="76"/>
    <d v="2025-03-18T00:00:00"/>
    <x v="1"/>
    <x v="2"/>
    <x v="2"/>
    <x v="0"/>
    <x v="3"/>
    <x v="7"/>
    <x v="11"/>
    <x v="1"/>
  </r>
  <r>
    <x v="2076"/>
    <x v="6"/>
    <x v="1"/>
    <x v="831"/>
    <n v="190"/>
    <x v="76"/>
    <d v="2025-03-20T00:00:00"/>
    <x v="2"/>
    <x v="0"/>
    <x v="0"/>
    <x v="0"/>
    <x v="3"/>
    <x v="1"/>
    <x v="11"/>
    <x v="2"/>
  </r>
  <r>
    <x v="2077"/>
    <x v="16"/>
    <x v="1"/>
    <x v="34"/>
    <n v="64"/>
    <x v="76"/>
    <d v="2025-03-20T00:00:00"/>
    <x v="1"/>
    <x v="0"/>
    <x v="1"/>
    <x v="0"/>
    <x v="3"/>
    <x v="1"/>
    <x v="11"/>
    <x v="1"/>
  </r>
  <r>
    <x v="2078"/>
    <x v="2"/>
    <x v="1"/>
    <x v="203"/>
    <n v="130.4"/>
    <x v="76"/>
    <d v="2025-03-19T00:00:00"/>
    <x v="2"/>
    <x v="1"/>
    <x v="0"/>
    <x v="0"/>
    <x v="3"/>
    <x v="3"/>
    <x v="11"/>
    <x v="2"/>
  </r>
  <r>
    <x v="2079"/>
    <x v="17"/>
    <x v="12"/>
    <x v="595"/>
    <n v="88"/>
    <x v="76"/>
    <d v="2025-03-19T00:00:00"/>
    <x v="1"/>
    <x v="1"/>
    <x v="2"/>
    <x v="0"/>
    <x v="3"/>
    <x v="3"/>
    <x v="11"/>
    <x v="1"/>
  </r>
  <r>
    <x v="2080"/>
    <x v="15"/>
    <x v="2"/>
    <x v="135"/>
    <n v="208.20000000000002"/>
    <x v="76"/>
    <d v="2025-03-21T00:00:00"/>
    <x v="1"/>
    <x v="1"/>
    <x v="2"/>
    <x v="0"/>
    <x v="3"/>
    <x v="2"/>
    <x v="11"/>
    <x v="1"/>
  </r>
  <r>
    <x v="2081"/>
    <x v="10"/>
    <x v="13"/>
    <x v="217"/>
    <n v="189"/>
    <x v="76"/>
    <d v="2025-03-20T00:00:00"/>
    <x v="2"/>
    <x v="0"/>
    <x v="2"/>
    <x v="0"/>
    <x v="3"/>
    <x v="1"/>
    <x v="11"/>
    <x v="2"/>
  </r>
  <r>
    <x v="2082"/>
    <x v="6"/>
    <x v="0"/>
    <x v="511"/>
    <n v="45.8"/>
    <x v="76"/>
    <d v="2025-03-22T00:00:00"/>
    <x v="3"/>
    <x v="0"/>
    <x v="0"/>
    <x v="0"/>
    <x v="3"/>
    <x v="5"/>
    <x v="11"/>
    <x v="3"/>
  </r>
  <r>
    <x v="2083"/>
    <x v="19"/>
    <x v="12"/>
    <x v="885"/>
    <n v="51.2"/>
    <x v="76"/>
    <d v="2025-03-25T00:00:00"/>
    <x v="2"/>
    <x v="1"/>
    <x v="1"/>
    <x v="0"/>
    <x v="5"/>
    <x v="6"/>
    <x v="11"/>
    <x v="2"/>
  </r>
  <r>
    <x v="2084"/>
    <x v="5"/>
    <x v="2"/>
    <x v="886"/>
    <n v="345.9"/>
    <x v="76"/>
    <d v="2025-03-19T00:00:00"/>
    <x v="2"/>
    <x v="2"/>
    <x v="2"/>
    <x v="0"/>
    <x v="6"/>
    <x v="3"/>
    <x v="11"/>
    <x v="2"/>
  </r>
  <r>
    <x v="2085"/>
    <x v="5"/>
    <x v="1"/>
    <x v="345"/>
    <n v="170"/>
    <x v="76"/>
    <d v="2025-03-20T00:00:00"/>
    <x v="2"/>
    <x v="1"/>
    <x v="0"/>
    <x v="0"/>
    <x v="7"/>
    <x v="1"/>
    <x v="11"/>
    <x v="2"/>
  </r>
  <r>
    <x v="2086"/>
    <x v="8"/>
    <x v="2"/>
    <x v="472"/>
    <n v="169.8"/>
    <x v="76"/>
    <d v="2025-03-19T00:00:00"/>
    <x v="2"/>
    <x v="1"/>
    <x v="2"/>
    <x v="0"/>
    <x v="7"/>
    <x v="3"/>
    <x v="11"/>
    <x v="2"/>
  </r>
  <r>
    <x v="2087"/>
    <x v="15"/>
    <x v="6"/>
    <x v="425"/>
    <n v="1250.0999999999999"/>
    <x v="76"/>
    <d v="2025-03-21T00:00:00"/>
    <x v="1"/>
    <x v="0"/>
    <x v="0"/>
    <x v="0"/>
    <x v="7"/>
    <x v="2"/>
    <x v="11"/>
    <x v="1"/>
  </r>
  <r>
    <x v="2088"/>
    <x v="14"/>
    <x v="12"/>
    <x v="887"/>
    <n v="92"/>
    <x v="76"/>
    <d v="2025-03-22T00:00:00"/>
    <x v="1"/>
    <x v="3"/>
    <x v="2"/>
    <x v="0"/>
    <x v="7"/>
    <x v="5"/>
    <x v="11"/>
    <x v="1"/>
  </r>
  <r>
    <x v="2089"/>
    <x v="8"/>
    <x v="13"/>
    <x v="624"/>
    <n v="252.60000000000002"/>
    <x v="76"/>
    <d v="2025-03-20T00:00:00"/>
    <x v="1"/>
    <x v="4"/>
    <x v="0"/>
    <x v="0"/>
    <x v="8"/>
    <x v="1"/>
    <x v="11"/>
    <x v="1"/>
  </r>
  <r>
    <x v="2090"/>
    <x v="5"/>
    <x v="3"/>
    <x v="214"/>
    <n v="401.8"/>
    <x v="76"/>
    <d v="2025-03-22T00:00:00"/>
    <x v="2"/>
    <x v="1"/>
    <x v="4"/>
    <x v="0"/>
    <x v="8"/>
    <x v="5"/>
    <x v="11"/>
    <x v="2"/>
  </r>
  <r>
    <x v="2091"/>
    <x v="0"/>
    <x v="13"/>
    <x v="888"/>
    <n v="79.199999999999989"/>
    <x v="76"/>
    <d v="2025-03-22T00:00:00"/>
    <x v="1"/>
    <x v="2"/>
    <x v="0"/>
    <x v="0"/>
    <x v="8"/>
    <x v="5"/>
    <x v="11"/>
    <x v="1"/>
  </r>
  <r>
    <x v="2092"/>
    <x v="6"/>
    <x v="2"/>
    <x v="574"/>
    <n v="156.89999999999998"/>
    <x v="76"/>
    <d v="2025-03-19T00:00:00"/>
    <x v="1"/>
    <x v="1"/>
    <x v="0"/>
    <x v="0"/>
    <x v="8"/>
    <x v="3"/>
    <x v="11"/>
    <x v="1"/>
  </r>
  <r>
    <x v="2093"/>
    <x v="8"/>
    <x v="1"/>
    <x v="137"/>
    <n v="31.4"/>
    <x v="76"/>
    <d v="2025-03-21T00:00:00"/>
    <x v="1"/>
    <x v="1"/>
    <x v="2"/>
    <x v="0"/>
    <x v="8"/>
    <x v="2"/>
    <x v="11"/>
    <x v="1"/>
  </r>
  <r>
    <x v="2094"/>
    <x v="7"/>
    <x v="2"/>
    <x v="775"/>
    <n v="105"/>
    <x v="76"/>
    <d v="2025-03-21T00:00:00"/>
    <x v="2"/>
    <x v="1"/>
    <x v="2"/>
    <x v="0"/>
    <x v="9"/>
    <x v="2"/>
    <x v="11"/>
    <x v="2"/>
  </r>
  <r>
    <x v="2095"/>
    <x v="4"/>
    <x v="2"/>
    <x v="439"/>
    <n v="79.800000000000011"/>
    <x v="76"/>
    <d v="2025-03-18T00:00:00"/>
    <x v="1"/>
    <x v="1"/>
    <x v="2"/>
    <x v="0"/>
    <x v="11"/>
    <x v="7"/>
    <x v="11"/>
    <x v="1"/>
  </r>
  <r>
    <x v="2096"/>
    <x v="4"/>
    <x v="8"/>
    <x v="367"/>
    <n v="383.2"/>
    <x v="77"/>
    <d v="2025-03-20T00:00:00"/>
    <x v="2"/>
    <x v="3"/>
    <x v="2"/>
    <x v="0"/>
    <x v="20"/>
    <x v="3"/>
    <x v="11"/>
    <x v="2"/>
  </r>
  <r>
    <x v="2097"/>
    <x v="5"/>
    <x v="0"/>
    <x v="889"/>
    <n v="80.099999999999994"/>
    <x v="77"/>
    <d v="2025-03-20T00:00:00"/>
    <x v="1"/>
    <x v="2"/>
    <x v="0"/>
    <x v="0"/>
    <x v="21"/>
    <x v="3"/>
    <x v="11"/>
    <x v="1"/>
  </r>
  <r>
    <x v="2098"/>
    <x v="6"/>
    <x v="9"/>
    <x v="88"/>
    <n v="252"/>
    <x v="77"/>
    <d v="2025-03-20T00:00:00"/>
    <x v="1"/>
    <x v="1"/>
    <x v="2"/>
    <x v="0"/>
    <x v="21"/>
    <x v="3"/>
    <x v="11"/>
    <x v="1"/>
  </r>
  <r>
    <x v="2099"/>
    <x v="10"/>
    <x v="3"/>
    <x v="705"/>
    <n v="303.09999999999997"/>
    <x v="77"/>
    <d v="2025-03-20T00:00:00"/>
    <x v="1"/>
    <x v="2"/>
    <x v="0"/>
    <x v="0"/>
    <x v="21"/>
    <x v="3"/>
    <x v="11"/>
    <x v="1"/>
  </r>
  <r>
    <x v="2100"/>
    <x v="10"/>
    <x v="12"/>
    <x v="884"/>
    <n v="230"/>
    <x v="77"/>
    <d v="2025-03-20T00:00:00"/>
    <x v="2"/>
    <x v="1"/>
    <x v="2"/>
    <x v="0"/>
    <x v="1"/>
    <x v="3"/>
    <x v="11"/>
    <x v="2"/>
  </r>
  <r>
    <x v="2101"/>
    <x v="9"/>
    <x v="15"/>
    <x v="486"/>
    <n v="322.40000000000003"/>
    <x v="77"/>
    <d v="2025-03-20T00:00:00"/>
    <x v="1"/>
    <x v="0"/>
    <x v="0"/>
    <x v="0"/>
    <x v="57"/>
    <x v="3"/>
    <x v="11"/>
    <x v="1"/>
  </r>
  <r>
    <x v="2102"/>
    <x v="2"/>
    <x v="11"/>
    <x v="753"/>
    <n v="771.30000000000007"/>
    <x v="77"/>
    <d v="2025-03-20T00:00:00"/>
    <x v="2"/>
    <x v="0"/>
    <x v="0"/>
    <x v="0"/>
    <x v="42"/>
    <x v="3"/>
    <x v="11"/>
    <x v="2"/>
  </r>
  <r>
    <x v="2103"/>
    <x v="7"/>
    <x v="0"/>
    <x v="344"/>
    <n v="47.1"/>
    <x v="77"/>
    <d v="2025-03-21T00:00:00"/>
    <x v="2"/>
    <x v="0"/>
    <x v="0"/>
    <x v="0"/>
    <x v="2"/>
    <x v="1"/>
    <x v="11"/>
    <x v="2"/>
  </r>
  <r>
    <x v="2104"/>
    <x v="5"/>
    <x v="7"/>
    <x v="890"/>
    <n v="832"/>
    <x v="77"/>
    <d v="2025-03-23T00:00:00"/>
    <x v="2"/>
    <x v="0"/>
    <x v="0"/>
    <x v="0"/>
    <x v="33"/>
    <x v="5"/>
    <x v="11"/>
    <x v="2"/>
  </r>
  <r>
    <x v="2105"/>
    <x v="2"/>
    <x v="2"/>
    <x v="891"/>
    <n v="471"/>
    <x v="77"/>
    <d v="2025-03-21T00:00:00"/>
    <x v="2"/>
    <x v="0"/>
    <x v="2"/>
    <x v="0"/>
    <x v="22"/>
    <x v="1"/>
    <x v="11"/>
    <x v="2"/>
  </r>
  <r>
    <x v="2106"/>
    <x v="16"/>
    <x v="12"/>
    <x v="532"/>
    <n v="134.80000000000001"/>
    <x v="77"/>
    <d v="2025-03-20T00:00:00"/>
    <x v="1"/>
    <x v="2"/>
    <x v="2"/>
    <x v="0"/>
    <x v="22"/>
    <x v="3"/>
    <x v="11"/>
    <x v="1"/>
  </r>
  <r>
    <x v="2107"/>
    <x v="2"/>
    <x v="2"/>
    <x v="553"/>
    <n v="182.39999999999998"/>
    <x v="77"/>
    <d v="2025-03-23T00:00:00"/>
    <x v="2"/>
    <x v="1"/>
    <x v="1"/>
    <x v="0"/>
    <x v="3"/>
    <x v="5"/>
    <x v="11"/>
    <x v="2"/>
  </r>
  <r>
    <x v="2108"/>
    <x v="7"/>
    <x v="0"/>
    <x v="222"/>
    <n v="57.6"/>
    <x v="77"/>
    <d v="2025-03-20T00:00:00"/>
    <x v="1"/>
    <x v="1"/>
    <x v="4"/>
    <x v="0"/>
    <x v="3"/>
    <x v="3"/>
    <x v="11"/>
    <x v="1"/>
  </r>
  <r>
    <x v="2109"/>
    <x v="10"/>
    <x v="0"/>
    <x v="34"/>
    <n v="32"/>
    <x v="77"/>
    <d v="2025-03-21T00:00:00"/>
    <x v="1"/>
    <x v="0"/>
    <x v="0"/>
    <x v="0"/>
    <x v="3"/>
    <x v="1"/>
    <x v="11"/>
    <x v="1"/>
  </r>
  <r>
    <x v="2110"/>
    <x v="10"/>
    <x v="12"/>
    <x v="234"/>
    <n v="94"/>
    <x v="77"/>
    <d v="2025-03-20T00:00:00"/>
    <x v="2"/>
    <x v="0"/>
    <x v="2"/>
    <x v="0"/>
    <x v="3"/>
    <x v="3"/>
    <x v="11"/>
    <x v="2"/>
  </r>
  <r>
    <x v="2111"/>
    <x v="12"/>
    <x v="2"/>
    <x v="788"/>
    <n v="134.39999999999998"/>
    <x v="77"/>
    <d v="2025-03-20T00:00:00"/>
    <x v="3"/>
    <x v="4"/>
    <x v="0"/>
    <x v="0"/>
    <x v="3"/>
    <x v="3"/>
    <x v="11"/>
    <x v="3"/>
  </r>
  <r>
    <x v="2112"/>
    <x v="0"/>
    <x v="8"/>
    <x v="860"/>
    <n v="93.6"/>
    <x v="77"/>
    <d v="2025-03-20T00:00:00"/>
    <x v="1"/>
    <x v="2"/>
    <x v="2"/>
    <x v="0"/>
    <x v="3"/>
    <x v="3"/>
    <x v="11"/>
    <x v="1"/>
  </r>
  <r>
    <x v="2113"/>
    <x v="7"/>
    <x v="1"/>
    <x v="665"/>
    <n v="77.599999999999994"/>
    <x v="77"/>
    <d v="2025-03-22T00:00:00"/>
    <x v="2"/>
    <x v="2"/>
    <x v="0"/>
    <x v="0"/>
    <x v="3"/>
    <x v="2"/>
    <x v="11"/>
    <x v="2"/>
  </r>
  <r>
    <x v="2114"/>
    <x v="5"/>
    <x v="21"/>
    <x v="724"/>
    <n v="1216.6000000000001"/>
    <x v="77"/>
    <d v="2025-03-24T00:00:00"/>
    <x v="2"/>
    <x v="1"/>
    <x v="0"/>
    <x v="0"/>
    <x v="3"/>
    <x v="0"/>
    <x v="11"/>
    <x v="2"/>
  </r>
  <r>
    <x v="2115"/>
    <x v="8"/>
    <x v="0"/>
    <x v="383"/>
    <n v="18.3"/>
    <x v="77"/>
    <d v="2025-03-20T00:00:00"/>
    <x v="2"/>
    <x v="0"/>
    <x v="0"/>
    <x v="0"/>
    <x v="3"/>
    <x v="3"/>
    <x v="11"/>
    <x v="2"/>
  </r>
  <r>
    <x v="2116"/>
    <x v="5"/>
    <x v="0"/>
    <x v="356"/>
    <n v="47.5"/>
    <x v="77"/>
    <d v="2025-03-23T00:00:00"/>
    <x v="1"/>
    <x v="4"/>
    <x v="2"/>
    <x v="0"/>
    <x v="3"/>
    <x v="5"/>
    <x v="11"/>
    <x v="1"/>
  </r>
  <r>
    <x v="2117"/>
    <x v="1"/>
    <x v="1"/>
    <x v="716"/>
    <n v="157.19999999999999"/>
    <x v="77"/>
    <d v="2025-03-20T00:00:00"/>
    <x v="1"/>
    <x v="2"/>
    <x v="2"/>
    <x v="0"/>
    <x v="3"/>
    <x v="3"/>
    <x v="11"/>
    <x v="1"/>
  </r>
  <r>
    <x v="2118"/>
    <x v="6"/>
    <x v="12"/>
    <x v="317"/>
    <n v="349.2"/>
    <x v="77"/>
    <d v="2025-03-20T00:00:00"/>
    <x v="1"/>
    <x v="0"/>
    <x v="0"/>
    <x v="0"/>
    <x v="3"/>
    <x v="3"/>
    <x v="11"/>
    <x v="1"/>
  </r>
  <r>
    <x v="2119"/>
    <x v="9"/>
    <x v="1"/>
    <x v="56"/>
    <n v="126.4"/>
    <x v="77"/>
    <d v="2025-03-19T00:00:00"/>
    <x v="1"/>
    <x v="4"/>
    <x v="1"/>
    <x v="0"/>
    <x v="3"/>
    <x v="7"/>
    <x v="11"/>
    <x v="1"/>
  </r>
  <r>
    <x v="2120"/>
    <x v="5"/>
    <x v="9"/>
    <x v="532"/>
    <n v="168.5"/>
    <x v="77"/>
    <d v="2025-03-20T00:00:00"/>
    <x v="2"/>
    <x v="0"/>
    <x v="0"/>
    <x v="0"/>
    <x v="3"/>
    <x v="3"/>
    <x v="11"/>
    <x v="2"/>
  </r>
  <r>
    <x v="2121"/>
    <x v="2"/>
    <x v="2"/>
    <x v="892"/>
    <n v="322.20000000000005"/>
    <x v="77"/>
    <d v="2025-04-01T00:00:00"/>
    <x v="2"/>
    <x v="1"/>
    <x v="2"/>
    <x v="0"/>
    <x v="3"/>
    <x v="10"/>
    <x v="11"/>
    <x v="2"/>
  </r>
  <r>
    <x v="2122"/>
    <x v="4"/>
    <x v="12"/>
    <x v="597"/>
    <n v="88.8"/>
    <x v="77"/>
    <d v="2025-03-20T00:00:00"/>
    <x v="0"/>
    <x v="1"/>
    <x v="2"/>
    <x v="0"/>
    <x v="24"/>
    <x v="3"/>
    <x v="11"/>
    <x v="0"/>
  </r>
  <r>
    <x v="2123"/>
    <x v="18"/>
    <x v="2"/>
    <x v="434"/>
    <n v="158.39999999999998"/>
    <x v="77"/>
    <d v="2025-03-20T00:00:00"/>
    <x v="1"/>
    <x v="3"/>
    <x v="2"/>
    <x v="0"/>
    <x v="24"/>
    <x v="3"/>
    <x v="11"/>
    <x v="1"/>
  </r>
  <r>
    <x v="2124"/>
    <x v="8"/>
    <x v="2"/>
    <x v="329"/>
    <n v="124.5"/>
    <x v="77"/>
    <d v="2025-03-22T00:00:00"/>
    <x v="2"/>
    <x v="0"/>
    <x v="0"/>
    <x v="0"/>
    <x v="25"/>
    <x v="2"/>
    <x v="11"/>
    <x v="2"/>
  </r>
  <r>
    <x v="2125"/>
    <x v="12"/>
    <x v="8"/>
    <x v="386"/>
    <n v="828"/>
    <x v="77"/>
    <d v="2025-03-22T00:00:00"/>
    <x v="2"/>
    <x v="0"/>
    <x v="2"/>
    <x v="0"/>
    <x v="23"/>
    <x v="2"/>
    <x v="11"/>
    <x v="2"/>
  </r>
  <r>
    <x v="2126"/>
    <x v="4"/>
    <x v="21"/>
    <x v="151"/>
    <n v="525"/>
    <x v="77"/>
    <d v="2025-03-19T00:00:00"/>
    <x v="2"/>
    <x v="1"/>
    <x v="2"/>
    <x v="0"/>
    <x v="6"/>
    <x v="7"/>
    <x v="11"/>
    <x v="2"/>
  </r>
  <r>
    <x v="2127"/>
    <x v="15"/>
    <x v="8"/>
    <x v="73"/>
    <n v="355.2"/>
    <x v="77"/>
    <d v="2025-03-25T00:00:00"/>
    <x v="2"/>
    <x v="3"/>
    <x v="2"/>
    <x v="0"/>
    <x v="7"/>
    <x v="4"/>
    <x v="11"/>
    <x v="2"/>
  </r>
  <r>
    <x v="2128"/>
    <x v="8"/>
    <x v="2"/>
    <x v="457"/>
    <n v="78.599999999999994"/>
    <x v="77"/>
    <d v="2025-03-20T00:00:00"/>
    <x v="1"/>
    <x v="0"/>
    <x v="0"/>
    <x v="0"/>
    <x v="8"/>
    <x v="3"/>
    <x v="11"/>
    <x v="1"/>
  </r>
  <r>
    <x v="2129"/>
    <x v="1"/>
    <x v="3"/>
    <x v="380"/>
    <n v="225.40000000000003"/>
    <x v="77"/>
    <d v="2025-03-20T00:00:00"/>
    <x v="2"/>
    <x v="1"/>
    <x v="2"/>
    <x v="0"/>
    <x v="8"/>
    <x v="3"/>
    <x v="11"/>
    <x v="2"/>
  </r>
  <r>
    <x v="2130"/>
    <x v="8"/>
    <x v="0"/>
    <x v="893"/>
    <n v="17.399999999999999"/>
    <x v="77"/>
    <d v="2025-03-23T00:00:00"/>
    <x v="0"/>
    <x v="2"/>
    <x v="1"/>
    <x v="0"/>
    <x v="8"/>
    <x v="5"/>
    <x v="11"/>
    <x v="0"/>
  </r>
  <r>
    <x v="2131"/>
    <x v="8"/>
    <x v="13"/>
    <x v="583"/>
    <n v="433.79999999999995"/>
    <x v="77"/>
    <d v="2025-03-22T00:00:00"/>
    <x v="2"/>
    <x v="0"/>
    <x v="0"/>
    <x v="0"/>
    <x v="8"/>
    <x v="2"/>
    <x v="11"/>
    <x v="2"/>
  </r>
  <r>
    <x v="2132"/>
    <x v="8"/>
    <x v="5"/>
    <x v="51"/>
    <n v="267.3"/>
    <x v="77"/>
    <d v="2025-03-20T00:00:00"/>
    <x v="1"/>
    <x v="0"/>
    <x v="0"/>
    <x v="0"/>
    <x v="8"/>
    <x v="3"/>
    <x v="11"/>
    <x v="1"/>
  </r>
  <r>
    <x v="2133"/>
    <x v="13"/>
    <x v="2"/>
    <x v="182"/>
    <n v="147.30000000000001"/>
    <x v="77"/>
    <d v="2025-03-25T00:00:00"/>
    <x v="1"/>
    <x v="2"/>
    <x v="4"/>
    <x v="0"/>
    <x v="8"/>
    <x v="4"/>
    <x v="11"/>
    <x v="1"/>
  </r>
  <r>
    <x v="2134"/>
    <x v="2"/>
    <x v="7"/>
    <x v="894"/>
    <n v="2347"/>
    <x v="77"/>
    <d v="2025-03-20T00:00:00"/>
    <x v="1"/>
    <x v="3"/>
    <x v="1"/>
    <x v="0"/>
    <x v="8"/>
    <x v="3"/>
    <x v="11"/>
    <x v="1"/>
  </r>
  <r>
    <x v="2135"/>
    <x v="3"/>
    <x v="9"/>
    <x v="164"/>
    <n v="380.5"/>
    <x v="77"/>
    <d v="2025-03-21T00:00:00"/>
    <x v="1"/>
    <x v="1"/>
    <x v="1"/>
    <x v="0"/>
    <x v="17"/>
    <x v="1"/>
    <x v="11"/>
    <x v="1"/>
  </r>
  <r>
    <x v="2136"/>
    <x v="1"/>
    <x v="2"/>
    <x v="895"/>
    <n v="281.70000000000005"/>
    <x v="77"/>
    <d v="2025-03-20T00:00:00"/>
    <x v="1"/>
    <x v="1"/>
    <x v="4"/>
    <x v="0"/>
    <x v="11"/>
    <x v="3"/>
    <x v="11"/>
    <x v="1"/>
  </r>
  <r>
    <x v="2137"/>
    <x v="2"/>
    <x v="12"/>
    <x v="896"/>
    <n v="748"/>
    <x v="78"/>
    <d v="2025-03-23T00:00:00"/>
    <x v="1"/>
    <x v="0"/>
    <x v="0"/>
    <x v="0"/>
    <x v="11"/>
    <x v="2"/>
    <x v="11"/>
    <x v="1"/>
  </r>
  <r>
    <x v="2138"/>
    <x v="8"/>
    <x v="1"/>
    <x v="53"/>
    <n v="36"/>
    <x v="78"/>
    <d v="2025-03-21T00:00:00"/>
    <x v="2"/>
    <x v="1"/>
    <x v="2"/>
    <x v="0"/>
    <x v="53"/>
    <x v="3"/>
    <x v="11"/>
    <x v="2"/>
  </r>
  <r>
    <x v="2139"/>
    <x v="4"/>
    <x v="0"/>
    <x v="278"/>
    <n v="24.4"/>
    <x v="78"/>
    <d v="2025-03-21T00:00:00"/>
    <x v="2"/>
    <x v="4"/>
    <x v="2"/>
    <x v="0"/>
    <x v="21"/>
    <x v="3"/>
    <x v="11"/>
    <x v="2"/>
  </r>
  <r>
    <x v="2140"/>
    <x v="10"/>
    <x v="1"/>
    <x v="665"/>
    <n v="77.599999999999994"/>
    <x v="78"/>
    <d v="2025-03-21T00:00:00"/>
    <x v="1"/>
    <x v="4"/>
    <x v="1"/>
    <x v="0"/>
    <x v="3"/>
    <x v="3"/>
    <x v="11"/>
    <x v="1"/>
  </r>
  <r>
    <x v="2141"/>
    <x v="3"/>
    <x v="0"/>
    <x v="115"/>
    <n v="59.7"/>
    <x v="78"/>
    <d v="2025-03-23T00:00:00"/>
    <x v="1"/>
    <x v="3"/>
    <x v="0"/>
    <x v="0"/>
    <x v="3"/>
    <x v="2"/>
    <x v="11"/>
    <x v="1"/>
  </r>
  <r>
    <x v="2142"/>
    <x v="7"/>
    <x v="0"/>
    <x v="63"/>
    <n v="31.2"/>
    <x v="78"/>
    <d v="2025-03-21T00:00:00"/>
    <x v="1"/>
    <x v="1"/>
    <x v="2"/>
    <x v="0"/>
    <x v="3"/>
    <x v="3"/>
    <x v="11"/>
    <x v="1"/>
  </r>
  <r>
    <x v="2143"/>
    <x v="0"/>
    <x v="0"/>
    <x v="384"/>
    <n v="16.8"/>
    <x v="78"/>
    <d v="2025-03-21T00:00:00"/>
    <x v="2"/>
    <x v="2"/>
    <x v="1"/>
    <x v="0"/>
    <x v="3"/>
    <x v="3"/>
    <x v="11"/>
    <x v="2"/>
  </r>
  <r>
    <x v="2144"/>
    <x v="8"/>
    <x v="0"/>
    <x v="544"/>
    <n v="46"/>
    <x v="78"/>
    <d v="2025-03-21T00:00:00"/>
    <x v="1"/>
    <x v="0"/>
    <x v="0"/>
    <x v="0"/>
    <x v="3"/>
    <x v="3"/>
    <x v="11"/>
    <x v="1"/>
  </r>
  <r>
    <x v="2145"/>
    <x v="9"/>
    <x v="8"/>
    <x v="567"/>
    <n v="337.6"/>
    <x v="78"/>
    <d v="2025-03-23T00:00:00"/>
    <x v="2"/>
    <x v="3"/>
    <x v="2"/>
    <x v="0"/>
    <x v="3"/>
    <x v="2"/>
    <x v="11"/>
    <x v="2"/>
  </r>
  <r>
    <x v="2146"/>
    <x v="1"/>
    <x v="2"/>
    <x v="674"/>
    <n v="214.5"/>
    <x v="78"/>
    <d v="2025-04-03T00:00:00"/>
    <x v="2"/>
    <x v="0"/>
    <x v="0"/>
    <x v="0"/>
    <x v="3"/>
    <x v="12"/>
    <x v="11"/>
    <x v="2"/>
  </r>
  <r>
    <x v="2147"/>
    <x v="1"/>
    <x v="1"/>
    <x v="897"/>
    <n v="153.19999999999999"/>
    <x v="78"/>
    <d v="2025-03-20T00:00:00"/>
    <x v="1"/>
    <x v="0"/>
    <x v="2"/>
    <x v="0"/>
    <x v="3"/>
    <x v="7"/>
    <x v="11"/>
    <x v="1"/>
  </r>
  <r>
    <x v="2148"/>
    <x v="12"/>
    <x v="1"/>
    <x v="317"/>
    <n v="174.6"/>
    <x v="78"/>
    <d v="2025-03-28T00:00:00"/>
    <x v="2"/>
    <x v="3"/>
    <x v="2"/>
    <x v="0"/>
    <x v="3"/>
    <x v="9"/>
    <x v="11"/>
    <x v="2"/>
  </r>
  <r>
    <x v="2149"/>
    <x v="1"/>
    <x v="0"/>
    <x v="94"/>
    <n v="63"/>
    <x v="78"/>
    <d v="2025-03-23T00:00:00"/>
    <x v="1"/>
    <x v="3"/>
    <x v="0"/>
    <x v="0"/>
    <x v="3"/>
    <x v="2"/>
    <x v="11"/>
    <x v="1"/>
  </r>
  <r>
    <x v="2150"/>
    <x v="8"/>
    <x v="1"/>
    <x v="52"/>
    <n v="83.4"/>
    <x v="78"/>
    <d v="2025-03-21T00:00:00"/>
    <x v="2"/>
    <x v="4"/>
    <x v="1"/>
    <x v="0"/>
    <x v="43"/>
    <x v="3"/>
    <x v="11"/>
    <x v="2"/>
  </r>
  <r>
    <x v="2151"/>
    <x v="6"/>
    <x v="1"/>
    <x v="164"/>
    <n v="152.19999999999999"/>
    <x v="78"/>
    <d v="2025-03-20T00:00:00"/>
    <x v="2"/>
    <x v="4"/>
    <x v="2"/>
    <x v="0"/>
    <x v="16"/>
    <x v="7"/>
    <x v="11"/>
    <x v="2"/>
  </r>
  <r>
    <x v="2152"/>
    <x v="13"/>
    <x v="1"/>
    <x v="365"/>
    <n v="57"/>
    <x v="78"/>
    <d v="2025-03-21T00:00:00"/>
    <x v="2"/>
    <x v="0"/>
    <x v="2"/>
    <x v="0"/>
    <x v="4"/>
    <x v="3"/>
    <x v="11"/>
    <x v="2"/>
  </r>
  <r>
    <x v="2153"/>
    <x v="0"/>
    <x v="12"/>
    <x v="201"/>
    <n v="128.4"/>
    <x v="78"/>
    <d v="2025-03-21T00:00:00"/>
    <x v="2"/>
    <x v="1"/>
    <x v="2"/>
    <x v="0"/>
    <x v="25"/>
    <x v="3"/>
    <x v="11"/>
    <x v="2"/>
  </r>
  <r>
    <x v="2154"/>
    <x v="4"/>
    <x v="2"/>
    <x v="37"/>
    <n v="117"/>
    <x v="78"/>
    <d v="2025-03-23T00:00:00"/>
    <x v="1"/>
    <x v="1"/>
    <x v="2"/>
    <x v="0"/>
    <x v="25"/>
    <x v="2"/>
    <x v="11"/>
    <x v="1"/>
  </r>
  <r>
    <x v="2155"/>
    <x v="6"/>
    <x v="0"/>
    <x v="898"/>
    <n v="78.5"/>
    <x v="78"/>
    <d v="2025-03-21T00:00:00"/>
    <x v="1"/>
    <x v="1"/>
    <x v="0"/>
    <x v="0"/>
    <x v="6"/>
    <x v="3"/>
    <x v="11"/>
    <x v="1"/>
  </r>
  <r>
    <x v="2156"/>
    <x v="4"/>
    <x v="9"/>
    <x v="235"/>
    <n v="248.5"/>
    <x v="78"/>
    <d v="2025-03-22T00:00:00"/>
    <x v="2"/>
    <x v="0"/>
    <x v="0"/>
    <x v="0"/>
    <x v="6"/>
    <x v="1"/>
    <x v="11"/>
    <x v="2"/>
  </r>
  <r>
    <x v="2157"/>
    <x v="1"/>
    <x v="12"/>
    <x v="657"/>
    <n v="273.60000000000002"/>
    <x v="78"/>
    <d v="2025-03-21T00:00:00"/>
    <x v="2"/>
    <x v="2"/>
    <x v="2"/>
    <x v="0"/>
    <x v="7"/>
    <x v="3"/>
    <x v="11"/>
    <x v="2"/>
  </r>
  <r>
    <x v="2158"/>
    <x v="3"/>
    <x v="1"/>
    <x v="899"/>
    <n v="145.80000000000001"/>
    <x v="78"/>
    <d v="2025-03-23T00:00:00"/>
    <x v="0"/>
    <x v="0"/>
    <x v="2"/>
    <x v="0"/>
    <x v="7"/>
    <x v="2"/>
    <x v="11"/>
    <x v="0"/>
  </r>
  <r>
    <x v="2159"/>
    <x v="5"/>
    <x v="15"/>
    <x v="165"/>
    <n v="393.90000000000003"/>
    <x v="78"/>
    <d v="2025-03-21T00:00:00"/>
    <x v="1"/>
    <x v="4"/>
    <x v="0"/>
    <x v="0"/>
    <x v="7"/>
    <x v="3"/>
    <x v="11"/>
    <x v="1"/>
  </r>
  <r>
    <x v="2160"/>
    <x v="6"/>
    <x v="5"/>
    <x v="787"/>
    <n v="636.9"/>
    <x v="78"/>
    <d v="2025-03-21T00:00:00"/>
    <x v="2"/>
    <x v="0"/>
    <x v="0"/>
    <x v="0"/>
    <x v="8"/>
    <x v="3"/>
    <x v="11"/>
    <x v="2"/>
  </r>
  <r>
    <x v="2161"/>
    <x v="1"/>
    <x v="0"/>
    <x v="900"/>
    <n v="96.7"/>
    <x v="78"/>
    <d v="2025-03-21T00:00:00"/>
    <x v="1"/>
    <x v="0"/>
    <x v="0"/>
    <x v="0"/>
    <x v="8"/>
    <x v="3"/>
    <x v="11"/>
    <x v="1"/>
  </r>
  <r>
    <x v="2162"/>
    <x v="8"/>
    <x v="4"/>
    <x v="843"/>
    <n v="331.20000000000005"/>
    <x v="78"/>
    <d v="2025-03-22T00:00:00"/>
    <x v="1"/>
    <x v="2"/>
    <x v="2"/>
    <x v="0"/>
    <x v="8"/>
    <x v="1"/>
    <x v="11"/>
    <x v="1"/>
  </r>
  <r>
    <x v="2163"/>
    <x v="6"/>
    <x v="12"/>
    <x v="337"/>
    <n v="258.8"/>
    <x v="78"/>
    <d v="2025-03-20T00:00:00"/>
    <x v="1"/>
    <x v="3"/>
    <x v="2"/>
    <x v="0"/>
    <x v="8"/>
    <x v="7"/>
    <x v="11"/>
    <x v="1"/>
  </r>
  <r>
    <x v="2164"/>
    <x v="10"/>
    <x v="13"/>
    <x v="162"/>
    <n v="183"/>
    <x v="78"/>
    <d v="2025-03-21T00:00:00"/>
    <x v="1"/>
    <x v="4"/>
    <x v="0"/>
    <x v="0"/>
    <x v="8"/>
    <x v="3"/>
    <x v="11"/>
    <x v="1"/>
  </r>
  <r>
    <x v="2165"/>
    <x v="6"/>
    <x v="47"/>
    <x v="901"/>
    <n v="7420"/>
    <x v="79"/>
    <d v="2025-03-23T00:00:00"/>
    <x v="1"/>
    <x v="4"/>
    <x v="2"/>
    <x v="0"/>
    <x v="8"/>
    <x v="1"/>
    <x v="11"/>
    <x v="1"/>
  </r>
  <r>
    <x v="2166"/>
    <x v="12"/>
    <x v="9"/>
    <x v="828"/>
    <n v="384"/>
    <x v="79"/>
    <d v="2025-03-27T00:00:00"/>
    <x v="0"/>
    <x v="1"/>
    <x v="1"/>
    <x v="0"/>
    <x v="18"/>
    <x v="4"/>
    <x v="11"/>
    <x v="0"/>
  </r>
  <r>
    <x v="2167"/>
    <x v="6"/>
    <x v="1"/>
    <x v="902"/>
    <n v="160.80000000000001"/>
    <x v="79"/>
    <d v="2025-03-22T00:00:00"/>
    <x v="2"/>
    <x v="2"/>
    <x v="0"/>
    <x v="0"/>
    <x v="13"/>
    <x v="3"/>
    <x v="11"/>
    <x v="2"/>
  </r>
  <r>
    <x v="2168"/>
    <x v="6"/>
    <x v="12"/>
    <x v="276"/>
    <n v="276.39999999999998"/>
    <x v="79"/>
    <d v="2025-03-22T00:00:00"/>
    <x v="1"/>
    <x v="1"/>
    <x v="2"/>
    <x v="0"/>
    <x v="21"/>
    <x v="3"/>
    <x v="11"/>
    <x v="1"/>
  </r>
  <r>
    <x v="2169"/>
    <x v="18"/>
    <x v="1"/>
    <x v="903"/>
    <n v="152.80000000000001"/>
    <x v="79"/>
    <d v="2025-03-21T00:00:00"/>
    <x v="1"/>
    <x v="3"/>
    <x v="0"/>
    <x v="0"/>
    <x v="21"/>
    <x v="7"/>
    <x v="11"/>
    <x v="1"/>
  </r>
  <r>
    <x v="2170"/>
    <x v="2"/>
    <x v="1"/>
    <x v="148"/>
    <n v="122.6"/>
    <x v="79"/>
    <d v="2025-03-22T00:00:00"/>
    <x v="2"/>
    <x v="1"/>
    <x v="1"/>
    <x v="0"/>
    <x v="21"/>
    <x v="3"/>
    <x v="11"/>
    <x v="2"/>
  </r>
  <r>
    <x v="2171"/>
    <x v="7"/>
    <x v="0"/>
    <x v="491"/>
    <n v="58"/>
    <x v="79"/>
    <d v="2025-03-22T00:00:00"/>
    <x v="1"/>
    <x v="3"/>
    <x v="1"/>
    <x v="0"/>
    <x v="1"/>
    <x v="3"/>
    <x v="11"/>
    <x v="1"/>
  </r>
  <r>
    <x v="2172"/>
    <x v="2"/>
    <x v="8"/>
    <x v="904"/>
    <n v="818.4"/>
    <x v="79"/>
    <d v="2025-03-23T00:00:00"/>
    <x v="1"/>
    <x v="2"/>
    <x v="0"/>
    <x v="0"/>
    <x v="42"/>
    <x v="1"/>
    <x v="11"/>
    <x v="1"/>
  </r>
  <r>
    <x v="2173"/>
    <x v="19"/>
    <x v="1"/>
    <x v="905"/>
    <n v="27.6"/>
    <x v="79"/>
    <d v="2025-03-22T00:00:00"/>
    <x v="2"/>
    <x v="4"/>
    <x v="2"/>
    <x v="0"/>
    <x v="2"/>
    <x v="3"/>
    <x v="11"/>
    <x v="2"/>
  </r>
  <r>
    <x v="2174"/>
    <x v="8"/>
    <x v="2"/>
    <x v="57"/>
    <n v="99.899999999999991"/>
    <x v="79"/>
    <d v="2025-03-24T00:00:00"/>
    <x v="2"/>
    <x v="2"/>
    <x v="0"/>
    <x v="0"/>
    <x v="22"/>
    <x v="2"/>
    <x v="11"/>
    <x v="2"/>
  </r>
  <r>
    <x v="2175"/>
    <x v="10"/>
    <x v="0"/>
    <x v="336"/>
    <n v="27.4"/>
    <x v="79"/>
    <d v="2025-03-24T00:00:00"/>
    <x v="1"/>
    <x v="0"/>
    <x v="2"/>
    <x v="0"/>
    <x v="22"/>
    <x v="2"/>
    <x v="11"/>
    <x v="1"/>
  </r>
  <r>
    <x v="2176"/>
    <x v="14"/>
    <x v="1"/>
    <x v="170"/>
    <n v="51.2"/>
    <x v="79"/>
    <d v="2025-03-22T00:00:00"/>
    <x v="2"/>
    <x v="1"/>
    <x v="1"/>
    <x v="0"/>
    <x v="3"/>
    <x v="3"/>
    <x v="11"/>
    <x v="2"/>
  </r>
  <r>
    <x v="2177"/>
    <x v="13"/>
    <x v="0"/>
    <x v="277"/>
    <n v="58.4"/>
    <x v="79"/>
    <d v="2025-03-22T00:00:00"/>
    <x v="2"/>
    <x v="2"/>
    <x v="2"/>
    <x v="0"/>
    <x v="3"/>
    <x v="3"/>
    <x v="11"/>
    <x v="2"/>
  </r>
  <r>
    <x v="2178"/>
    <x v="11"/>
    <x v="17"/>
    <x v="49"/>
    <n v="810"/>
    <x v="79"/>
    <d v="2025-03-22T00:00:00"/>
    <x v="2"/>
    <x v="4"/>
    <x v="0"/>
    <x v="0"/>
    <x v="3"/>
    <x v="3"/>
    <x v="11"/>
    <x v="2"/>
  </r>
  <r>
    <x v="2179"/>
    <x v="0"/>
    <x v="12"/>
    <x v="270"/>
    <n v="56.8"/>
    <x v="79"/>
    <d v="2025-03-22T00:00:00"/>
    <x v="1"/>
    <x v="0"/>
    <x v="2"/>
    <x v="0"/>
    <x v="3"/>
    <x v="3"/>
    <x v="11"/>
    <x v="1"/>
  </r>
  <r>
    <x v="2180"/>
    <x v="7"/>
    <x v="1"/>
    <x v="666"/>
    <n v="136"/>
    <x v="79"/>
    <d v="2025-03-31T00:00:00"/>
    <x v="1"/>
    <x v="2"/>
    <x v="1"/>
    <x v="0"/>
    <x v="3"/>
    <x v="14"/>
    <x v="11"/>
    <x v="1"/>
  </r>
  <r>
    <x v="2181"/>
    <x v="8"/>
    <x v="0"/>
    <x v="630"/>
    <n v="30.7"/>
    <x v="79"/>
    <d v="2025-03-22T00:00:00"/>
    <x v="1"/>
    <x v="0"/>
    <x v="0"/>
    <x v="0"/>
    <x v="3"/>
    <x v="3"/>
    <x v="11"/>
    <x v="1"/>
  </r>
  <r>
    <x v="2182"/>
    <x v="17"/>
    <x v="15"/>
    <x v="728"/>
    <n v="670.80000000000007"/>
    <x v="79"/>
    <d v="2025-03-24T00:00:00"/>
    <x v="3"/>
    <x v="1"/>
    <x v="2"/>
    <x v="0"/>
    <x v="3"/>
    <x v="2"/>
    <x v="11"/>
    <x v="3"/>
  </r>
  <r>
    <x v="2183"/>
    <x v="8"/>
    <x v="2"/>
    <x v="468"/>
    <n v="61.800000000000004"/>
    <x v="79"/>
    <d v="2025-03-25T00:00:00"/>
    <x v="2"/>
    <x v="4"/>
    <x v="2"/>
    <x v="0"/>
    <x v="3"/>
    <x v="5"/>
    <x v="11"/>
    <x v="2"/>
  </r>
  <r>
    <x v="2184"/>
    <x v="8"/>
    <x v="0"/>
    <x v="486"/>
    <n v="24.8"/>
    <x v="79"/>
    <d v="2025-03-22T00:00:00"/>
    <x v="1"/>
    <x v="4"/>
    <x v="0"/>
    <x v="0"/>
    <x v="3"/>
    <x v="3"/>
    <x v="11"/>
    <x v="1"/>
  </r>
  <r>
    <x v="2185"/>
    <x v="0"/>
    <x v="3"/>
    <x v="408"/>
    <n v="78.399999999999991"/>
    <x v="79"/>
    <d v="2025-03-24T00:00:00"/>
    <x v="1"/>
    <x v="1"/>
    <x v="0"/>
    <x v="0"/>
    <x v="3"/>
    <x v="2"/>
    <x v="11"/>
    <x v="1"/>
  </r>
  <r>
    <x v="2186"/>
    <x v="11"/>
    <x v="1"/>
    <x v="440"/>
    <n v="102.4"/>
    <x v="79"/>
    <d v="2025-03-22T00:00:00"/>
    <x v="2"/>
    <x v="1"/>
    <x v="2"/>
    <x v="0"/>
    <x v="3"/>
    <x v="3"/>
    <x v="11"/>
    <x v="2"/>
  </r>
  <r>
    <x v="2187"/>
    <x v="7"/>
    <x v="13"/>
    <x v="411"/>
    <n v="543"/>
    <x v="79"/>
    <d v="2025-03-22T00:00:00"/>
    <x v="2"/>
    <x v="1"/>
    <x v="4"/>
    <x v="0"/>
    <x v="3"/>
    <x v="3"/>
    <x v="11"/>
    <x v="2"/>
  </r>
  <r>
    <x v="2188"/>
    <x v="1"/>
    <x v="1"/>
    <x v="394"/>
    <n v="84.8"/>
    <x v="79"/>
    <d v="2025-03-22T00:00:00"/>
    <x v="1"/>
    <x v="1"/>
    <x v="2"/>
    <x v="0"/>
    <x v="4"/>
    <x v="3"/>
    <x v="11"/>
    <x v="1"/>
  </r>
  <r>
    <x v="2189"/>
    <x v="1"/>
    <x v="1"/>
    <x v="751"/>
    <n v="76.400000000000006"/>
    <x v="79"/>
    <d v="2025-03-22T00:00:00"/>
    <x v="1"/>
    <x v="0"/>
    <x v="0"/>
    <x v="0"/>
    <x v="5"/>
    <x v="3"/>
    <x v="11"/>
    <x v="1"/>
  </r>
  <r>
    <x v="2190"/>
    <x v="2"/>
    <x v="11"/>
    <x v="906"/>
    <n v="1091.7"/>
    <x v="79"/>
    <d v="2025-03-26T00:00:00"/>
    <x v="1"/>
    <x v="0"/>
    <x v="0"/>
    <x v="0"/>
    <x v="6"/>
    <x v="0"/>
    <x v="11"/>
    <x v="1"/>
  </r>
  <r>
    <x v="2191"/>
    <x v="6"/>
    <x v="1"/>
    <x v="528"/>
    <n v="93.8"/>
    <x v="79"/>
    <d v="2025-03-28T00:00:00"/>
    <x v="1"/>
    <x v="0"/>
    <x v="0"/>
    <x v="0"/>
    <x v="8"/>
    <x v="6"/>
    <x v="11"/>
    <x v="1"/>
  </r>
  <r>
    <x v="2192"/>
    <x v="10"/>
    <x v="0"/>
    <x v="6"/>
    <n v="55.3"/>
    <x v="79"/>
    <d v="2025-03-23T00:00:00"/>
    <x v="1"/>
    <x v="0"/>
    <x v="0"/>
    <x v="0"/>
    <x v="8"/>
    <x v="1"/>
    <x v="11"/>
    <x v="1"/>
  </r>
  <r>
    <x v="2193"/>
    <x v="2"/>
    <x v="2"/>
    <x v="431"/>
    <n v="211.79999999999998"/>
    <x v="80"/>
    <d v="2025-03-22T00:00:00"/>
    <x v="2"/>
    <x v="0"/>
    <x v="1"/>
    <x v="0"/>
    <x v="8"/>
    <x v="7"/>
    <x v="11"/>
    <x v="2"/>
  </r>
  <r>
    <x v="2194"/>
    <x v="14"/>
    <x v="12"/>
    <x v="615"/>
    <n v="104.4"/>
    <x v="80"/>
    <d v="2025-03-24T00:00:00"/>
    <x v="1"/>
    <x v="0"/>
    <x v="0"/>
    <x v="0"/>
    <x v="8"/>
    <x v="1"/>
    <x v="11"/>
    <x v="1"/>
  </r>
  <r>
    <x v="2195"/>
    <x v="9"/>
    <x v="5"/>
    <x v="176"/>
    <n v="379.5"/>
    <x v="80"/>
    <d v="2025-03-26T00:00:00"/>
    <x v="1"/>
    <x v="2"/>
    <x v="0"/>
    <x v="0"/>
    <x v="17"/>
    <x v="5"/>
    <x v="11"/>
    <x v="1"/>
  </r>
  <r>
    <x v="2196"/>
    <x v="1"/>
    <x v="1"/>
    <x v="58"/>
    <n v="128.4"/>
    <x v="80"/>
    <d v="2025-03-23T00:00:00"/>
    <x v="2"/>
    <x v="0"/>
    <x v="1"/>
    <x v="0"/>
    <x v="17"/>
    <x v="3"/>
    <x v="11"/>
    <x v="2"/>
  </r>
  <r>
    <x v="2197"/>
    <x v="2"/>
    <x v="12"/>
    <x v="907"/>
    <n v="582.79999999999995"/>
    <x v="80"/>
    <d v="2025-03-23T00:00:00"/>
    <x v="2"/>
    <x v="0"/>
    <x v="4"/>
    <x v="0"/>
    <x v="17"/>
    <x v="3"/>
    <x v="11"/>
    <x v="2"/>
  </r>
  <r>
    <x v="2198"/>
    <x v="12"/>
    <x v="1"/>
    <x v="898"/>
    <n v="157"/>
    <x v="80"/>
    <d v="2025-03-23T00:00:00"/>
    <x v="1"/>
    <x v="2"/>
    <x v="0"/>
    <x v="0"/>
    <x v="26"/>
    <x v="3"/>
    <x v="11"/>
    <x v="1"/>
  </r>
  <r>
    <x v="2199"/>
    <x v="1"/>
    <x v="0"/>
    <x v="120"/>
    <n v="34.200000000000003"/>
    <x v="80"/>
    <d v="2025-03-24T00:00:00"/>
    <x v="1"/>
    <x v="0"/>
    <x v="0"/>
    <x v="0"/>
    <x v="9"/>
    <x v="1"/>
    <x v="11"/>
    <x v="1"/>
  </r>
  <r>
    <x v="2200"/>
    <x v="19"/>
    <x v="0"/>
    <x v="457"/>
    <n v="26.2"/>
    <x v="80"/>
    <d v="2025-03-23T00:00:00"/>
    <x v="1"/>
    <x v="2"/>
    <x v="0"/>
    <x v="0"/>
    <x v="9"/>
    <x v="3"/>
    <x v="11"/>
    <x v="1"/>
  </r>
  <r>
    <x v="2201"/>
    <x v="6"/>
    <x v="12"/>
    <x v="459"/>
    <n v="212.8"/>
    <x v="80"/>
    <d v="2025-03-23T00:00:00"/>
    <x v="1"/>
    <x v="1"/>
    <x v="1"/>
    <x v="0"/>
    <x v="11"/>
    <x v="3"/>
    <x v="11"/>
    <x v="1"/>
  </r>
  <r>
    <x v="2202"/>
    <x v="1"/>
    <x v="0"/>
    <x v="908"/>
    <n v="35.4"/>
    <x v="80"/>
    <d v="2025-03-26T00:00:00"/>
    <x v="1"/>
    <x v="1"/>
    <x v="4"/>
    <x v="0"/>
    <x v="18"/>
    <x v="5"/>
    <x v="11"/>
    <x v="1"/>
  </r>
  <r>
    <x v="2203"/>
    <x v="14"/>
    <x v="1"/>
    <x v="210"/>
    <n v="42.6"/>
    <x v="80"/>
    <d v="2025-03-23T00:00:00"/>
    <x v="1"/>
    <x v="2"/>
    <x v="0"/>
    <x v="0"/>
    <x v="20"/>
    <x v="3"/>
    <x v="11"/>
    <x v="1"/>
  </r>
  <r>
    <x v="2204"/>
    <x v="8"/>
    <x v="12"/>
    <x v="619"/>
    <n v="131.6"/>
    <x v="80"/>
    <d v="2025-03-25T00:00:00"/>
    <x v="2"/>
    <x v="4"/>
    <x v="2"/>
    <x v="0"/>
    <x v="21"/>
    <x v="2"/>
    <x v="11"/>
    <x v="2"/>
  </r>
  <r>
    <x v="2205"/>
    <x v="5"/>
    <x v="20"/>
    <x v="909"/>
    <n v="1282.5"/>
    <x v="80"/>
    <d v="2025-03-24T00:00:00"/>
    <x v="2"/>
    <x v="3"/>
    <x v="1"/>
    <x v="0"/>
    <x v="21"/>
    <x v="1"/>
    <x v="11"/>
    <x v="2"/>
  </r>
  <r>
    <x v="2206"/>
    <x v="4"/>
    <x v="0"/>
    <x v="48"/>
    <n v="26.8"/>
    <x v="80"/>
    <d v="2025-03-23T00:00:00"/>
    <x v="2"/>
    <x v="0"/>
    <x v="1"/>
    <x v="0"/>
    <x v="2"/>
    <x v="3"/>
    <x v="11"/>
    <x v="2"/>
  </r>
  <r>
    <x v="2207"/>
    <x v="9"/>
    <x v="18"/>
    <x v="132"/>
    <n v="824.19999999999993"/>
    <x v="80"/>
    <d v="2025-03-22T00:00:00"/>
    <x v="2"/>
    <x v="3"/>
    <x v="0"/>
    <x v="0"/>
    <x v="2"/>
    <x v="7"/>
    <x v="11"/>
    <x v="2"/>
  </r>
  <r>
    <x v="2208"/>
    <x v="1"/>
    <x v="1"/>
    <x v="158"/>
    <n v="156.6"/>
    <x v="80"/>
    <d v="2025-03-24T00:00:00"/>
    <x v="2"/>
    <x v="1"/>
    <x v="1"/>
    <x v="0"/>
    <x v="3"/>
    <x v="1"/>
    <x v="11"/>
    <x v="2"/>
  </r>
  <r>
    <x v="2209"/>
    <x v="6"/>
    <x v="0"/>
    <x v="910"/>
    <n v="43.9"/>
    <x v="80"/>
    <d v="2025-03-23T00:00:00"/>
    <x v="1"/>
    <x v="0"/>
    <x v="0"/>
    <x v="0"/>
    <x v="3"/>
    <x v="3"/>
    <x v="11"/>
    <x v="1"/>
  </r>
  <r>
    <x v="2210"/>
    <x v="18"/>
    <x v="2"/>
    <x v="726"/>
    <n v="252"/>
    <x v="80"/>
    <d v="2025-03-24T00:00:00"/>
    <x v="0"/>
    <x v="3"/>
    <x v="2"/>
    <x v="0"/>
    <x v="3"/>
    <x v="1"/>
    <x v="11"/>
    <x v="0"/>
  </r>
  <r>
    <x v="2211"/>
    <x v="0"/>
    <x v="2"/>
    <x v="370"/>
    <n v="34.200000000000003"/>
    <x v="80"/>
    <d v="2025-03-23T00:00:00"/>
    <x v="1"/>
    <x v="4"/>
    <x v="0"/>
    <x v="0"/>
    <x v="3"/>
    <x v="3"/>
    <x v="11"/>
    <x v="1"/>
  </r>
  <r>
    <x v="2212"/>
    <x v="12"/>
    <x v="8"/>
    <x v="356"/>
    <n v="380"/>
    <x v="80"/>
    <d v="2025-03-30T00:00:00"/>
    <x v="2"/>
    <x v="0"/>
    <x v="0"/>
    <x v="0"/>
    <x v="3"/>
    <x v="9"/>
    <x v="11"/>
    <x v="2"/>
  </r>
  <r>
    <x v="2213"/>
    <x v="9"/>
    <x v="5"/>
    <x v="93"/>
    <n v="555.5"/>
    <x v="80"/>
    <d v="2025-03-24T00:00:00"/>
    <x v="1"/>
    <x v="2"/>
    <x v="0"/>
    <x v="0"/>
    <x v="3"/>
    <x v="1"/>
    <x v="11"/>
    <x v="1"/>
  </r>
  <r>
    <x v="2214"/>
    <x v="15"/>
    <x v="0"/>
    <x v="791"/>
    <n v="36.299999999999997"/>
    <x v="80"/>
    <d v="2025-03-25T00:00:00"/>
    <x v="3"/>
    <x v="0"/>
    <x v="1"/>
    <x v="0"/>
    <x v="8"/>
    <x v="2"/>
    <x v="11"/>
    <x v="3"/>
  </r>
  <r>
    <x v="2215"/>
    <x v="8"/>
    <x v="1"/>
    <x v="908"/>
    <n v="70.8"/>
    <x v="80"/>
    <d v="2025-03-23T00:00:00"/>
    <x v="2"/>
    <x v="0"/>
    <x v="0"/>
    <x v="0"/>
    <x v="17"/>
    <x v="3"/>
    <x v="11"/>
    <x v="2"/>
  </r>
  <r>
    <x v="2216"/>
    <x v="1"/>
    <x v="2"/>
    <x v="206"/>
    <n v="137.69999999999999"/>
    <x v="81"/>
    <d v="2025-03-24T00:00:00"/>
    <x v="1"/>
    <x v="3"/>
    <x v="0"/>
    <x v="0"/>
    <x v="9"/>
    <x v="3"/>
    <x v="12"/>
    <x v="1"/>
  </r>
  <r>
    <x v="2217"/>
    <x v="6"/>
    <x v="7"/>
    <x v="387"/>
    <n v="412"/>
    <x v="81"/>
    <d v="2025-03-27T00:00:00"/>
    <x v="1"/>
    <x v="0"/>
    <x v="0"/>
    <x v="0"/>
    <x v="11"/>
    <x v="5"/>
    <x v="12"/>
    <x v="1"/>
  </r>
  <r>
    <x v="2218"/>
    <x v="17"/>
    <x v="1"/>
    <x v="226"/>
    <n v="90.2"/>
    <x v="81"/>
    <d v="2025-03-24T00:00:00"/>
    <x v="1"/>
    <x v="1"/>
    <x v="1"/>
    <x v="0"/>
    <x v="21"/>
    <x v="3"/>
    <x v="12"/>
    <x v="1"/>
  </r>
  <r>
    <x v="2219"/>
    <x v="6"/>
    <x v="7"/>
    <x v="305"/>
    <n v="636"/>
    <x v="81"/>
    <d v="2025-03-23T00:00:00"/>
    <x v="1"/>
    <x v="2"/>
    <x v="0"/>
    <x v="0"/>
    <x v="1"/>
    <x v="7"/>
    <x v="12"/>
    <x v="1"/>
  </r>
  <r>
    <x v="2220"/>
    <x v="8"/>
    <x v="0"/>
    <x v="911"/>
    <n v="70.5"/>
    <x v="81"/>
    <d v="2025-03-24T00:00:00"/>
    <x v="1"/>
    <x v="0"/>
    <x v="0"/>
    <x v="0"/>
    <x v="3"/>
    <x v="3"/>
    <x v="12"/>
    <x v="1"/>
  </r>
  <r>
    <x v="2221"/>
    <x v="6"/>
    <x v="0"/>
    <x v="397"/>
    <n v="41.3"/>
    <x v="81"/>
    <d v="2025-03-23T00:00:00"/>
    <x v="1"/>
    <x v="4"/>
    <x v="0"/>
    <x v="0"/>
    <x v="3"/>
    <x v="7"/>
    <x v="12"/>
    <x v="1"/>
  </r>
  <r>
    <x v="2222"/>
    <x v="4"/>
    <x v="0"/>
    <x v="341"/>
    <n v="35.299999999999997"/>
    <x v="81"/>
    <d v="2025-03-26T00:00:00"/>
    <x v="2"/>
    <x v="4"/>
    <x v="2"/>
    <x v="0"/>
    <x v="3"/>
    <x v="2"/>
    <x v="12"/>
    <x v="2"/>
  </r>
  <r>
    <x v="2223"/>
    <x v="8"/>
    <x v="9"/>
    <x v="267"/>
    <n v="173.5"/>
    <x v="81"/>
    <d v="2025-03-24T00:00:00"/>
    <x v="2"/>
    <x v="0"/>
    <x v="2"/>
    <x v="0"/>
    <x v="3"/>
    <x v="3"/>
    <x v="12"/>
    <x v="2"/>
  </r>
  <r>
    <x v="2224"/>
    <x v="8"/>
    <x v="2"/>
    <x v="615"/>
    <n v="78.300000000000011"/>
    <x v="81"/>
    <d v="2025-03-24T00:00:00"/>
    <x v="2"/>
    <x v="0"/>
    <x v="0"/>
    <x v="0"/>
    <x v="3"/>
    <x v="3"/>
    <x v="12"/>
    <x v="2"/>
  </r>
  <r>
    <x v="2225"/>
    <x v="9"/>
    <x v="9"/>
    <x v="351"/>
    <n v="113"/>
    <x v="81"/>
    <d v="2025-03-23T00:00:00"/>
    <x v="2"/>
    <x v="1"/>
    <x v="2"/>
    <x v="0"/>
    <x v="3"/>
    <x v="7"/>
    <x v="12"/>
    <x v="2"/>
  </r>
  <r>
    <x v="2226"/>
    <x v="2"/>
    <x v="1"/>
    <x v="912"/>
    <n v="308.8"/>
    <x v="81"/>
    <d v="2025-03-26T00:00:00"/>
    <x v="1"/>
    <x v="1"/>
    <x v="1"/>
    <x v="0"/>
    <x v="3"/>
    <x v="2"/>
    <x v="12"/>
    <x v="1"/>
  </r>
  <r>
    <x v="2227"/>
    <x v="8"/>
    <x v="1"/>
    <x v="856"/>
    <n v="36.799999999999997"/>
    <x v="81"/>
    <d v="2025-03-24T00:00:00"/>
    <x v="1"/>
    <x v="0"/>
    <x v="0"/>
    <x v="0"/>
    <x v="3"/>
    <x v="3"/>
    <x v="12"/>
    <x v="1"/>
  </r>
  <r>
    <x v="2228"/>
    <x v="14"/>
    <x v="0"/>
    <x v="769"/>
    <n v="25"/>
    <x v="81"/>
    <d v="2025-03-26T00:00:00"/>
    <x v="2"/>
    <x v="0"/>
    <x v="0"/>
    <x v="0"/>
    <x v="3"/>
    <x v="2"/>
    <x v="12"/>
    <x v="2"/>
  </r>
  <r>
    <x v="2229"/>
    <x v="2"/>
    <x v="13"/>
    <x v="339"/>
    <n v="633.59999999999991"/>
    <x v="81"/>
    <d v="2025-03-23T00:00:00"/>
    <x v="2"/>
    <x v="0"/>
    <x v="0"/>
    <x v="0"/>
    <x v="3"/>
    <x v="7"/>
    <x v="12"/>
    <x v="2"/>
  </r>
  <r>
    <x v="2230"/>
    <x v="18"/>
    <x v="8"/>
    <x v="684"/>
    <n v="476.8"/>
    <x v="81"/>
    <d v="2025-03-23T00:00:00"/>
    <x v="2"/>
    <x v="0"/>
    <x v="2"/>
    <x v="0"/>
    <x v="23"/>
    <x v="7"/>
    <x v="12"/>
    <x v="2"/>
  </r>
  <r>
    <x v="2231"/>
    <x v="15"/>
    <x v="2"/>
    <x v="913"/>
    <n v="226.20000000000002"/>
    <x v="81"/>
    <d v="2025-03-28T00:00:00"/>
    <x v="1"/>
    <x v="0"/>
    <x v="1"/>
    <x v="0"/>
    <x v="7"/>
    <x v="0"/>
    <x v="12"/>
    <x v="1"/>
  </r>
  <r>
    <x v="2232"/>
    <x v="7"/>
    <x v="0"/>
    <x v="653"/>
    <n v="104.4"/>
    <x v="81"/>
    <d v="2025-03-24T00:00:00"/>
    <x v="2"/>
    <x v="0"/>
    <x v="0"/>
    <x v="0"/>
    <x v="8"/>
    <x v="3"/>
    <x v="12"/>
    <x v="2"/>
  </r>
  <r>
    <x v="2233"/>
    <x v="2"/>
    <x v="7"/>
    <x v="914"/>
    <n v="2082"/>
    <x v="81"/>
    <d v="2025-03-24T00:00:00"/>
    <x v="1"/>
    <x v="0"/>
    <x v="2"/>
    <x v="0"/>
    <x v="8"/>
    <x v="3"/>
    <x v="12"/>
    <x v="1"/>
  </r>
  <r>
    <x v="2234"/>
    <x v="6"/>
    <x v="1"/>
    <x v="303"/>
    <n v="90"/>
    <x v="81"/>
    <d v="2025-03-26T00:00:00"/>
    <x v="2"/>
    <x v="0"/>
    <x v="0"/>
    <x v="0"/>
    <x v="10"/>
    <x v="2"/>
    <x v="12"/>
    <x v="2"/>
  </r>
  <r>
    <x v="2235"/>
    <x v="15"/>
    <x v="1"/>
    <x v="127"/>
    <n v="40.6"/>
    <x v="82"/>
    <d v="2025-03-26T00:00:00"/>
    <x v="0"/>
    <x v="1"/>
    <x v="0"/>
    <x v="0"/>
    <x v="11"/>
    <x v="1"/>
    <x v="12"/>
    <x v="0"/>
  </r>
  <r>
    <x v="2236"/>
    <x v="2"/>
    <x v="2"/>
    <x v="482"/>
    <n v="283.20000000000005"/>
    <x v="82"/>
    <d v="2025-03-25T00:00:00"/>
    <x v="2"/>
    <x v="0"/>
    <x v="2"/>
    <x v="0"/>
    <x v="11"/>
    <x v="3"/>
    <x v="12"/>
    <x v="2"/>
  </r>
  <r>
    <x v="2237"/>
    <x v="9"/>
    <x v="0"/>
    <x v="11"/>
    <n v="49"/>
    <x v="82"/>
    <d v="2025-03-26T00:00:00"/>
    <x v="2"/>
    <x v="0"/>
    <x v="2"/>
    <x v="0"/>
    <x v="20"/>
    <x v="1"/>
    <x v="12"/>
    <x v="2"/>
  </r>
  <r>
    <x v="2238"/>
    <x v="4"/>
    <x v="1"/>
    <x v="295"/>
    <n v="54.4"/>
    <x v="82"/>
    <d v="2025-03-26T00:00:00"/>
    <x v="1"/>
    <x v="0"/>
    <x v="2"/>
    <x v="0"/>
    <x v="1"/>
    <x v="1"/>
    <x v="12"/>
    <x v="1"/>
  </r>
  <r>
    <x v="2239"/>
    <x v="2"/>
    <x v="13"/>
    <x v="559"/>
    <n v="435.59999999999997"/>
    <x v="82"/>
    <d v="2025-03-25T00:00:00"/>
    <x v="2"/>
    <x v="0"/>
    <x v="2"/>
    <x v="0"/>
    <x v="2"/>
    <x v="3"/>
    <x v="12"/>
    <x v="2"/>
  </r>
  <r>
    <x v="2240"/>
    <x v="15"/>
    <x v="12"/>
    <x v="470"/>
    <n v="249.6"/>
    <x v="82"/>
    <d v="2025-03-25T00:00:00"/>
    <x v="2"/>
    <x v="0"/>
    <x v="0"/>
    <x v="0"/>
    <x v="3"/>
    <x v="3"/>
    <x v="12"/>
    <x v="2"/>
  </r>
  <r>
    <x v="2241"/>
    <x v="8"/>
    <x v="2"/>
    <x v="30"/>
    <n v="57.300000000000004"/>
    <x v="82"/>
    <d v="2025-03-26T00:00:00"/>
    <x v="1"/>
    <x v="0"/>
    <x v="1"/>
    <x v="0"/>
    <x v="3"/>
    <x v="1"/>
    <x v="12"/>
    <x v="1"/>
  </r>
  <r>
    <x v="2242"/>
    <x v="10"/>
    <x v="0"/>
    <x v="686"/>
    <n v="29.6"/>
    <x v="82"/>
    <d v="2025-03-28T00:00:00"/>
    <x v="1"/>
    <x v="0"/>
    <x v="4"/>
    <x v="0"/>
    <x v="3"/>
    <x v="5"/>
    <x v="12"/>
    <x v="1"/>
  </r>
  <r>
    <x v="2243"/>
    <x v="8"/>
    <x v="1"/>
    <x v="104"/>
    <n v="37.799999999999997"/>
    <x v="82"/>
    <d v="2025-03-26T00:00:00"/>
    <x v="2"/>
    <x v="4"/>
    <x v="2"/>
    <x v="0"/>
    <x v="3"/>
    <x v="1"/>
    <x v="12"/>
    <x v="2"/>
  </r>
  <r>
    <x v="2244"/>
    <x v="10"/>
    <x v="9"/>
    <x v="50"/>
    <n v="207"/>
    <x v="82"/>
    <d v="2025-03-25T00:00:00"/>
    <x v="1"/>
    <x v="3"/>
    <x v="0"/>
    <x v="0"/>
    <x v="3"/>
    <x v="3"/>
    <x v="12"/>
    <x v="1"/>
  </r>
  <r>
    <x v="2245"/>
    <x v="2"/>
    <x v="0"/>
    <x v="915"/>
    <n v="118.4"/>
    <x v="82"/>
    <d v="2025-03-25T00:00:00"/>
    <x v="2"/>
    <x v="0"/>
    <x v="2"/>
    <x v="0"/>
    <x v="3"/>
    <x v="3"/>
    <x v="12"/>
    <x v="2"/>
  </r>
  <r>
    <x v="2246"/>
    <x v="2"/>
    <x v="1"/>
    <x v="916"/>
    <n v="250.6"/>
    <x v="82"/>
    <d v="2025-03-27T00:00:00"/>
    <x v="2"/>
    <x v="0"/>
    <x v="2"/>
    <x v="0"/>
    <x v="3"/>
    <x v="2"/>
    <x v="12"/>
    <x v="2"/>
  </r>
  <r>
    <x v="2247"/>
    <x v="3"/>
    <x v="1"/>
    <x v="449"/>
    <n v="171.6"/>
    <x v="82"/>
    <d v="2025-03-25T00:00:00"/>
    <x v="2"/>
    <x v="1"/>
    <x v="4"/>
    <x v="0"/>
    <x v="3"/>
    <x v="3"/>
    <x v="12"/>
    <x v="2"/>
  </r>
  <r>
    <x v="2248"/>
    <x v="6"/>
    <x v="0"/>
    <x v="236"/>
    <n v="44.2"/>
    <x v="82"/>
    <d v="2025-03-27T00:00:00"/>
    <x v="1"/>
    <x v="1"/>
    <x v="0"/>
    <x v="0"/>
    <x v="3"/>
    <x v="2"/>
    <x v="12"/>
    <x v="1"/>
  </r>
  <r>
    <x v="2249"/>
    <x v="5"/>
    <x v="12"/>
    <x v="746"/>
    <n v="296.39999999999998"/>
    <x v="82"/>
    <d v="2025-03-26T00:00:00"/>
    <x v="2"/>
    <x v="0"/>
    <x v="0"/>
    <x v="0"/>
    <x v="3"/>
    <x v="1"/>
    <x v="12"/>
    <x v="2"/>
  </r>
  <r>
    <x v="2250"/>
    <x v="8"/>
    <x v="0"/>
    <x v="601"/>
    <n v="33.799999999999997"/>
    <x v="82"/>
    <d v="2025-03-25T00:00:00"/>
    <x v="2"/>
    <x v="2"/>
    <x v="2"/>
    <x v="0"/>
    <x v="24"/>
    <x v="3"/>
    <x v="12"/>
    <x v="2"/>
  </r>
  <r>
    <x v="2251"/>
    <x v="1"/>
    <x v="1"/>
    <x v="644"/>
    <n v="78.2"/>
    <x v="82"/>
    <d v="2025-03-25T00:00:00"/>
    <x v="1"/>
    <x v="0"/>
    <x v="1"/>
    <x v="0"/>
    <x v="24"/>
    <x v="3"/>
    <x v="12"/>
    <x v="1"/>
  </r>
  <r>
    <x v="2252"/>
    <x v="0"/>
    <x v="0"/>
    <x v="790"/>
    <n v="37.200000000000003"/>
    <x v="82"/>
    <d v="2025-03-25T00:00:00"/>
    <x v="1"/>
    <x v="0"/>
    <x v="1"/>
    <x v="0"/>
    <x v="16"/>
    <x v="3"/>
    <x v="12"/>
    <x v="1"/>
  </r>
  <r>
    <x v="2253"/>
    <x v="15"/>
    <x v="2"/>
    <x v="412"/>
    <n v="101.69999999999999"/>
    <x v="82"/>
    <d v="2025-03-26T00:00:00"/>
    <x v="1"/>
    <x v="2"/>
    <x v="0"/>
    <x v="0"/>
    <x v="6"/>
    <x v="1"/>
    <x v="12"/>
    <x v="1"/>
  </r>
  <r>
    <x v="2254"/>
    <x v="7"/>
    <x v="20"/>
    <x v="651"/>
    <n v="1099.5"/>
    <x v="82"/>
    <d v="2025-03-27T00:00:00"/>
    <x v="2"/>
    <x v="2"/>
    <x v="1"/>
    <x v="0"/>
    <x v="8"/>
    <x v="2"/>
    <x v="12"/>
    <x v="2"/>
  </r>
  <r>
    <x v="2255"/>
    <x v="8"/>
    <x v="12"/>
    <x v="775"/>
    <n v="140"/>
    <x v="82"/>
    <d v="2025-03-26T00:00:00"/>
    <x v="2"/>
    <x v="1"/>
    <x v="0"/>
    <x v="0"/>
    <x v="8"/>
    <x v="1"/>
    <x v="12"/>
    <x v="2"/>
  </r>
  <r>
    <x v="2256"/>
    <x v="0"/>
    <x v="2"/>
    <x v="597"/>
    <n v="66.599999999999994"/>
    <x v="82"/>
    <d v="2025-03-25T00:00:00"/>
    <x v="1"/>
    <x v="1"/>
    <x v="0"/>
    <x v="0"/>
    <x v="17"/>
    <x v="3"/>
    <x v="12"/>
    <x v="1"/>
  </r>
  <r>
    <x v="2257"/>
    <x v="10"/>
    <x v="0"/>
    <x v="498"/>
    <n v="32.4"/>
    <x v="82"/>
    <d v="2025-03-25T00:00:00"/>
    <x v="2"/>
    <x v="0"/>
    <x v="0"/>
    <x v="0"/>
    <x v="11"/>
    <x v="3"/>
    <x v="12"/>
    <x v="2"/>
  </r>
  <r>
    <x v="2258"/>
    <x v="5"/>
    <x v="2"/>
    <x v="13"/>
    <n v="265.20000000000005"/>
    <x v="83"/>
    <d v="2025-03-27T00:00:00"/>
    <x v="2"/>
    <x v="1"/>
    <x v="1"/>
    <x v="0"/>
    <x v="11"/>
    <x v="1"/>
    <x v="12"/>
    <x v="2"/>
  </r>
  <r>
    <x v="2259"/>
    <x v="5"/>
    <x v="27"/>
    <x v="162"/>
    <n v="488"/>
    <x v="83"/>
    <d v="2025-03-26T00:00:00"/>
    <x v="2"/>
    <x v="2"/>
    <x v="0"/>
    <x v="0"/>
    <x v="11"/>
    <x v="3"/>
    <x v="12"/>
    <x v="2"/>
  </r>
  <r>
    <x v="2260"/>
    <x v="1"/>
    <x v="13"/>
    <x v="202"/>
    <n v="228.60000000000002"/>
    <x v="83"/>
    <d v="2025-03-27T00:00:00"/>
    <x v="2"/>
    <x v="0"/>
    <x v="1"/>
    <x v="0"/>
    <x v="11"/>
    <x v="1"/>
    <x v="12"/>
    <x v="2"/>
  </r>
  <r>
    <x v="2261"/>
    <x v="10"/>
    <x v="9"/>
    <x v="410"/>
    <n v="188"/>
    <x v="83"/>
    <d v="2025-03-29T00:00:00"/>
    <x v="1"/>
    <x v="0"/>
    <x v="0"/>
    <x v="0"/>
    <x v="11"/>
    <x v="5"/>
    <x v="12"/>
    <x v="1"/>
  </r>
  <r>
    <x v="2262"/>
    <x v="15"/>
    <x v="1"/>
    <x v="541"/>
    <n v="62.8"/>
    <x v="83"/>
    <d v="2025-03-26T00:00:00"/>
    <x v="1"/>
    <x v="0"/>
    <x v="2"/>
    <x v="0"/>
    <x v="11"/>
    <x v="3"/>
    <x v="12"/>
    <x v="1"/>
  </r>
  <r>
    <x v="2263"/>
    <x v="6"/>
    <x v="1"/>
    <x v="89"/>
    <n v="123"/>
    <x v="83"/>
    <d v="2025-03-26T00:00:00"/>
    <x v="1"/>
    <x v="3"/>
    <x v="0"/>
    <x v="0"/>
    <x v="31"/>
    <x v="3"/>
    <x v="12"/>
    <x v="1"/>
  </r>
  <r>
    <x v="2264"/>
    <x v="6"/>
    <x v="0"/>
    <x v="559"/>
    <n v="72.599999999999994"/>
    <x v="83"/>
    <d v="2025-03-26T00:00:00"/>
    <x v="1"/>
    <x v="0"/>
    <x v="1"/>
    <x v="0"/>
    <x v="21"/>
    <x v="3"/>
    <x v="12"/>
    <x v="1"/>
  </r>
  <r>
    <x v="2265"/>
    <x v="9"/>
    <x v="2"/>
    <x v="436"/>
    <n v="80.699999999999989"/>
    <x v="83"/>
    <d v="2025-03-30T00:00:00"/>
    <x v="3"/>
    <x v="4"/>
    <x v="1"/>
    <x v="0"/>
    <x v="46"/>
    <x v="0"/>
    <x v="12"/>
    <x v="3"/>
  </r>
  <r>
    <x v="2266"/>
    <x v="17"/>
    <x v="4"/>
    <x v="647"/>
    <n v="352.79999999999995"/>
    <x v="83"/>
    <d v="2025-03-26T00:00:00"/>
    <x v="2"/>
    <x v="1"/>
    <x v="0"/>
    <x v="0"/>
    <x v="51"/>
    <x v="3"/>
    <x v="12"/>
    <x v="2"/>
  </r>
  <r>
    <x v="2267"/>
    <x v="17"/>
    <x v="1"/>
    <x v="624"/>
    <n v="84.2"/>
    <x v="83"/>
    <d v="2025-03-26T00:00:00"/>
    <x v="2"/>
    <x v="3"/>
    <x v="1"/>
    <x v="0"/>
    <x v="1"/>
    <x v="3"/>
    <x v="12"/>
    <x v="2"/>
  </r>
  <r>
    <x v="2268"/>
    <x v="5"/>
    <x v="0"/>
    <x v="145"/>
    <n v="40.5"/>
    <x v="83"/>
    <d v="2025-03-26T00:00:00"/>
    <x v="2"/>
    <x v="2"/>
    <x v="1"/>
    <x v="0"/>
    <x v="1"/>
    <x v="3"/>
    <x v="12"/>
    <x v="2"/>
  </r>
  <r>
    <x v="2269"/>
    <x v="2"/>
    <x v="12"/>
    <x v="917"/>
    <n v="729.2"/>
    <x v="83"/>
    <d v="2025-03-26T00:00:00"/>
    <x v="2"/>
    <x v="1"/>
    <x v="0"/>
    <x v="0"/>
    <x v="1"/>
    <x v="3"/>
    <x v="12"/>
    <x v="2"/>
  </r>
  <r>
    <x v="2270"/>
    <x v="2"/>
    <x v="9"/>
    <x v="891"/>
    <n v="785"/>
    <x v="83"/>
    <d v="2025-03-28T00:00:00"/>
    <x v="2"/>
    <x v="1"/>
    <x v="2"/>
    <x v="0"/>
    <x v="2"/>
    <x v="2"/>
    <x v="12"/>
    <x v="2"/>
  </r>
  <r>
    <x v="2271"/>
    <x v="17"/>
    <x v="9"/>
    <x v="291"/>
    <n v="226"/>
    <x v="83"/>
    <d v="2025-03-28T00:00:00"/>
    <x v="2"/>
    <x v="1"/>
    <x v="0"/>
    <x v="0"/>
    <x v="22"/>
    <x v="2"/>
    <x v="12"/>
    <x v="2"/>
  </r>
  <r>
    <x v="2272"/>
    <x v="15"/>
    <x v="12"/>
    <x v="336"/>
    <n v="109.6"/>
    <x v="83"/>
    <d v="2025-03-27T00:00:00"/>
    <x v="2"/>
    <x v="0"/>
    <x v="0"/>
    <x v="0"/>
    <x v="3"/>
    <x v="1"/>
    <x v="12"/>
    <x v="2"/>
  </r>
  <r>
    <x v="2273"/>
    <x v="5"/>
    <x v="9"/>
    <x v="268"/>
    <n v="170.5"/>
    <x v="83"/>
    <d v="2025-03-27T00:00:00"/>
    <x v="1"/>
    <x v="0"/>
    <x v="2"/>
    <x v="0"/>
    <x v="3"/>
    <x v="1"/>
    <x v="12"/>
    <x v="1"/>
  </r>
  <r>
    <x v="2274"/>
    <x v="0"/>
    <x v="1"/>
    <x v="269"/>
    <n v="52"/>
    <x v="83"/>
    <d v="2025-03-27T00:00:00"/>
    <x v="1"/>
    <x v="2"/>
    <x v="1"/>
    <x v="0"/>
    <x v="3"/>
    <x v="1"/>
    <x v="12"/>
    <x v="1"/>
  </r>
  <r>
    <x v="2275"/>
    <x v="8"/>
    <x v="3"/>
    <x v="918"/>
    <n v="135.79999999999998"/>
    <x v="83"/>
    <d v="2025-03-27T00:00:00"/>
    <x v="0"/>
    <x v="1"/>
    <x v="1"/>
    <x v="0"/>
    <x v="3"/>
    <x v="1"/>
    <x v="12"/>
    <x v="0"/>
  </r>
  <r>
    <x v="2276"/>
    <x v="16"/>
    <x v="2"/>
    <x v="165"/>
    <n v="90.9"/>
    <x v="83"/>
    <d v="2025-03-28T00:00:00"/>
    <x v="2"/>
    <x v="1"/>
    <x v="2"/>
    <x v="0"/>
    <x v="3"/>
    <x v="2"/>
    <x v="12"/>
    <x v="2"/>
  </r>
  <r>
    <x v="2277"/>
    <x v="2"/>
    <x v="2"/>
    <x v="919"/>
    <n v="304.20000000000005"/>
    <x v="83"/>
    <d v="2025-03-26T00:00:00"/>
    <x v="1"/>
    <x v="0"/>
    <x v="0"/>
    <x v="0"/>
    <x v="3"/>
    <x v="3"/>
    <x v="12"/>
    <x v="1"/>
  </r>
  <r>
    <x v="2278"/>
    <x v="3"/>
    <x v="9"/>
    <x v="572"/>
    <n v="277.5"/>
    <x v="83"/>
    <d v="2025-03-28T00:00:00"/>
    <x v="1"/>
    <x v="1"/>
    <x v="0"/>
    <x v="0"/>
    <x v="24"/>
    <x v="2"/>
    <x v="12"/>
    <x v="1"/>
  </r>
  <r>
    <x v="2279"/>
    <x v="8"/>
    <x v="0"/>
    <x v="59"/>
    <n v="23.1"/>
    <x v="83"/>
    <d v="2025-03-26T00:00:00"/>
    <x v="1"/>
    <x v="0"/>
    <x v="0"/>
    <x v="0"/>
    <x v="25"/>
    <x v="3"/>
    <x v="12"/>
    <x v="1"/>
  </r>
  <r>
    <x v="2280"/>
    <x v="18"/>
    <x v="1"/>
    <x v="400"/>
    <n v="77.8"/>
    <x v="83"/>
    <d v="2025-03-26T00:00:00"/>
    <x v="1"/>
    <x v="2"/>
    <x v="0"/>
    <x v="0"/>
    <x v="25"/>
    <x v="3"/>
    <x v="12"/>
    <x v="1"/>
  </r>
  <r>
    <x v="2281"/>
    <x v="6"/>
    <x v="11"/>
    <x v="118"/>
    <n v="1046.7"/>
    <x v="83"/>
    <d v="2025-03-29T00:00:00"/>
    <x v="2"/>
    <x v="0"/>
    <x v="0"/>
    <x v="0"/>
    <x v="5"/>
    <x v="5"/>
    <x v="12"/>
    <x v="2"/>
  </r>
  <r>
    <x v="2282"/>
    <x v="16"/>
    <x v="11"/>
    <x v="444"/>
    <n v="576.9"/>
    <x v="83"/>
    <d v="2025-03-25T00:00:00"/>
    <x v="2"/>
    <x v="0"/>
    <x v="2"/>
    <x v="0"/>
    <x v="6"/>
    <x v="7"/>
    <x v="12"/>
    <x v="2"/>
  </r>
  <r>
    <x v="2283"/>
    <x v="2"/>
    <x v="13"/>
    <x v="920"/>
    <n v="655.20000000000005"/>
    <x v="83"/>
    <d v="2025-03-27T00:00:00"/>
    <x v="1"/>
    <x v="0"/>
    <x v="1"/>
    <x v="0"/>
    <x v="8"/>
    <x v="1"/>
    <x v="12"/>
    <x v="1"/>
  </r>
  <r>
    <x v="2284"/>
    <x v="10"/>
    <x v="9"/>
    <x v="372"/>
    <n v="116"/>
    <x v="84"/>
    <d v="2025-03-27T00:00:00"/>
    <x v="1"/>
    <x v="0"/>
    <x v="1"/>
    <x v="0"/>
    <x v="8"/>
    <x v="3"/>
    <x v="12"/>
    <x v="1"/>
  </r>
  <r>
    <x v="2285"/>
    <x v="18"/>
    <x v="13"/>
    <x v="830"/>
    <n v="487.20000000000005"/>
    <x v="84"/>
    <d v="2025-03-28T00:00:00"/>
    <x v="1"/>
    <x v="2"/>
    <x v="2"/>
    <x v="0"/>
    <x v="8"/>
    <x v="1"/>
    <x v="12"/>
    <x v="1"/>
  </r>
  <r>
    <x v="2286"/>
    <x v="1"/>
    <x v="21"/>
    <x v="8"/>
    <n v="499.80000000000007"/>
    <x v="84"/>
    <d v="2025-03-27T00:00:00"/>
    <x v="1"/>
    <x v="3"/>
    <x v="0"/>
    <x v="0"/>
    <x v="8"/>
    <x v="3"/>
    <x v="12"/>
    <x v="1"/>
  </r>
  <r>
    <x v="2287"/>
    <x v="7"/>
    <x v="1"/>
    <x v="239"/>
    <n v="89"/>
    <x v="84"/>
    <d v="2025-03-29T00:00:00"/>
    <x v="1"/>
    <x v="4"/>
    <x v="0"/>
    <x v="0"/>
    <x v="9"/>
    <x v="2"/>
    <x v="12"/>
    <x v="1"/>
  </r>
  <r>
    <x v="2288"/>
    <x v="1"/>
    <x v="9"/>
    <x v="34"/>
    <n v="160"/>
    <x v="84"/>
    <d v="2025-03-28T00:00:00"/>
    <x v="3"/>
    <x v="1"/>
    <x v="1"/>
    <x v="0"/>
    <x v="9"/>
    <x v="1"/>
    <x v="12"/>
    <x v="3"/>
  </r>
  <r>
    <x v="2289"/>
    <x v="8"/>
    <x v="0"/>
    <x v="679"/>
    <n v="25.7"/>
    <x v="84"/>
    <d v="2025-03-27T00:00:00"/>
    <x v="1"/>
    <x v="0"/>
    <x v="0"/>
    <x v="0"/>
    <x v="10"/>
    <x v="3"/>
    <x v="12"/>
    <x v="1"/>
  </r>
  <r>
    <x v="2290"/>
    <x v="16"/>
    <x v="2"/>
    <x v="404"/>
    <n v="196.79999999999998"/>
    <x v="84"/>
    <d v="2025-04-01T00:00:00"/>
    <x v="1"/>
    <x v="0"/>
    <x v="0"/>
    <x v="0"/>
    <x v="11"/>
    <x v="4"/>
    <x v="12"/>
    <x v="1"/>
  </r>
  <r>
    <x v="2291"/>
    <x v="1"/>
    <x v="12"/>
    <x v="184"/>
    <n v="208.4"/>
    <x v="84"/>
    <d v="2025-03-27T00:00:00"/>
    <x v="2"/>
    <x v="0"/>
    <x v="2"/>
    <x v="0"/>
    <x v="11"/>
    <x v="3"/>
    <x v="12"/>
    <x v="2"/>
  </r>
  <r>
    <x v="2292"/>
    <x v="8"/>
    <x v="0"/>
    <x v="452"/>
    <n v="31"/>
    <x v="84"/>
    <d v="2025-03-27T00:00:00"/>
    <x v="1"/>
    <x v="0"/>
    <x v="1"/>
    <x v="0"/>
    <x v="19"/>
    <x v="3"/>
    <x v="12"/>
    <x v="1"/>
  </r>
  <r>
    <x v="2293"/>
    <x v="8"/>
    <x v="0"/>
    <x v="34"/>
    <n v="32"/>
    <x v="84"/>
    <d v="2025-03-28T00:00:00"/>
    <x v="3"/>
    <x v="3"/>
    <x v="1"/>
    <x v="0"/>
    <x v="31"/>
    <x v="1"/>
    <x v="12"/>
    <x v="3"/>
  </r>
  <r>
    <x v="2294"/>
    <x v="16"/>
    <x v="12"/>
    <x v="207"/>
    <n v="233.2"/>
    <x v="84"/>
    <d v="2025-03-30T00:00:00"/>
    <x v="1"/>
    <x v="1"/>
    <x v="4"/>
    <x v="0"/>
    <x v="20"/>
    <x v="5"/>
    <x v="12"/>
    <x v="1"/>
  </r>
  <r>
    <x v="2295"/>
    <x v="8"/>
    <x v="2"/>
    <x v="452"/>
    <n v="93"/>
    <x v="84"/>
    <d v="2025-03-28T00:00:00"/>
    <x v="2"/>
    <x v="2"/>
    <x v="4"/>
    <x v="0"/>
    <x v="13"/>
    <x v="1"/>
    <x v="12"/>
    <x v="2"/>
  </r>
  <r>
    <x v="2296"/>
    <x v="3"/>
    <x v="0"/>
    <x v="7"/>
    <n v="40.299999999999997"/>
    <x v="84"/>
    <d v="2025-03-27T00:00:00"/>
    <x v="1"/>
    <x v="1"/>
    <x v="2"/>
    <x v="0"/>
    <x v="54"/>
    <x v="3"/>
    <x v="12"/>
    <x v="1"/>
  </r>
  <r>
    <x v="2297"/>
    <x v="6"/>
    <x v="2"/>
    <x v="219"/>
    <n v="141.89999999999998"/>
    <x v="84"/>
    <d v="2025-03-28T00:00:00"/>
    <x v="1"/>
    <x v="4"/>
    <x v="2"/>
    <x v="0"/>
    <x v="2"/>
    <x v="1"/>
    <x v="12"/>
    <x v="1"/>
  </r>
  <r>
    <x v="2298"/>
    <x v="2"/>
    <x v="0"/>
    <x v="921"/>
    <n v="82.8"/>
    <x v="84"/>
    <d v="2025-03-27T00:00:00"/>
    <x v="1"/>
    <x v="0"/>
    <x v="0"/>
    <x v="0"/>
    <x v="2"/>
    <x v="3"/>
    <x v="12"/>
    <x v="1"/>
  </r>
  <r>
    <x v="2299"/>
    <x v="8"/>
    <x v="0"/>
    <x v="99"/>
    <n v="18.5"/>
    <x v="84"/>
    <d v="2025-04-09T00:00:00"/>
    <x v="2"/>
    <x v="0"/>
    <x v="0"/>
    <x v="0"/>
    <x v="44"/>
    <x v="12"/>
    <x v="12"/>
    <x v="2"/>
  </r>
  <r>
    <x v="2300"/>
    <x v="3"/>
    <x v="1"/>
    <x v="247"/>
    <n v="120.8"/>
    <x v="84"/>
    <d v="2025-03-27T00:00:00"/>
    <x v="1"/>
    <x v="2"/>
    <x v="0"/>
    <x v="0"/>
    <x v="22"/>
    <x v="3"/>
    <x v="12"/>
    <x v="1"/>
  </r>
  <r>
    <x v="2301"/>
    <x v="6"/>
    <x v="9"/>
    <x v="454"/>
    <n v="401"/>
    <x v="84"/>
    <d v="2025-04-02T00:00:00"/>
    <x v="1"/>
    <x v="1"/>
    <x v="1"/>
    <x v="0"/>
    <x v="50"/>
    <x v="6"/>
    <x v="12"/>
    <x v="1"/>
  </r>
  <r>
    <x v="2302"/>
    <x v="4"/>
    <x v="0"/>
    <x v="329"/>
    <n v="41.5"/>
    <x v="84"/>
    <d v="2025-03-28T00:00:00"/>
    <x v="1"/>
    <x v="2"/>
    <x v="0"/>
    <x v="0"/>
    <x v="3"/>
    <x v="1"/>
    <x v="12"/>
    <x v="1"/>
  </r>
  <r>
    <x v="2303"/>
    <x v="2"/>
    <x v="1"/>
    <x v="922"/>
    <n v="167.8"/>
    <x v="84"/>
    <d v="2025-03-29T00:00:00"/>
    <x v="2"/>
    <x v="0"/>
    <x v="0"/>
    <x v="0"/>
    <x v="3"/>
    <x v="2"/>
    <x v="12"/>
    <x v="2"/>
  </r>
  <r>
    <x v="2304"/>
    <x v="8"/>
    <x v="1"/>
    <x v="569"/>
    <n v="33.4"/>
    <x v="84"/>
    <d v="2025-03-30T00:00:00"/>
    <x v="2"/>
    <x v="0"/>
    <x v="1"/>
    <x v="0"/>
    <x v="3"/>
    <x v="5"/>
    <x v="12"/>
    <x v="2"/>
  </r>
  <r>
    <x v="2305"/>
    <x v="9"/>
    <x v="1"/>
    <x v="899"/>
    <n v="145.80000000000001"/>
    <x v="84"/>
    <d v="2025-03-27T00:00:00"/>
    <x v="1"/>
    <x v="2"/>
    <x v="1"/>
    <x v="0"/>
    <x v="3"/>
    <x v="3"/>
    <x v="12"/>
    <x v="1"/>
  </r>
  <r>
    <x v="2306"/>
    <x v="5"/>
    <x v="1"/>
    <x v="534"/>
    <n v="100.4"/>
    <x v="84"/>
    <d v="2025-03-28T00:00:00"/>
    <x v="2"/>
    <x v="1"/>
    <x v="2"/>
    <x v="0"/>
    <x v="3"/>
    <x v="1"/>
    <x v="12"/>
    <x v="2"/>
  </r>
  <r>
    <x v="2307"/>
    <x v="3"/>
    <x v="1"/>
    <x v="120"/>
    <n v="68.400000000000006"/>
    <x v="84"/>
    <d v="2025-04-05T00:00:00"/>
    <x v="0"/>
    <x v="1"/>
    <x v="0"/>
    <x v="0"/>
    <x v="3"/>
    <x v="14"/>
    <x v="12"/>
    <x v="0"/>
  </r>
  <r>
    <x v="2308"/>
    <x v="5"/>
    <x v="1"/>
    <x v="562"/>
    <n v="215.8"/>
    <x v="84"/>
    <d v="2025-03-26T00:00:00"/>
    <x v="1"/>
    <x v="1"/>
    <x v="4"/>
    <x v="0"/>
    <x v="3"/>
    <x v="7"/>
    <x v="12"/>
    <x v="1"/>
  </r>
  <r>
    <x v="2309"/>
    <x v="0"/>
    <x v="2"/>
    <x v="25"/>
    <n v="52.5"/>
    <x v="84"/>
    <d v="2025-03-28T00:00:00"/>
    <x v="1"/>
    <x v="4"/>
    <x v="0"/>
    <x v="0"/>
    <x v="3"/>
    <x v="1"/>
    <x v="12"/>
    <x v="1"/>
  </r>
  <r>
    <x v="2310"/>
    <x v="13"/>
    <x v="20"/>
    <x v="613"/>
    <n v="670.5"/>
    <x v="84"/>
    <d v="2025-03-27T00:00:00"/>
    <x v="1"/>
    <x v="0"/>
    <x v="1"/>
    <x v="0"/>
    <x v="3"/>
    <x v="3"/>
    <x v="12"/>
    <x v="1"/>
  </r>
  <r>
    <x v="2311"/>
    <x v="12"/>
    <x v="13"/>
    <x v="306"/>
    <n v="556.20000000000005"/>
    <x v="84"/>
    <d v="2025-03-28T00:00:00"/>
    <x v="2"/>
    <x v="2"/>
    <x v="1"/>
    <x v="0"/>
    <x v="3"/>
    <x v="1"/>
    <x v="12"/>
    <x v="2"/>
  </r>
  <r>
    <x v="2312"/>
    <x v="7"/>
    <x v="2"/>
    <x v="126"/>
    <n v="146.39999999999998"/>
    <x v="84"/>
    <d v="2025-03-28T00:00:00"/>
    <x v="2"/>
    <x v="2"/>
    <x v="0"/>
    <x v="0"/>
    <x v="3"/>
    <x v="1"/>
    <x v="12"/>
    <x v="2"/>
  </r>
  <r>
    <x v="2313"/>
    <x v="4"/>
    <x v="27"/>
    <x v="210"/>
    <n v="340.8"/>
    <x v="84"/>
    <d v="2025-03-30T00:00:00"/>
    <x v="2"/>
    <x v="3"/>
    <x v="3"/>
    <x v="0"/>
    <x v="3"/>
    <x v="5"/>
    <x v="12"/>
    <x v="2"/>
  </r>
  <r>
    <x v="2314"/>
    <x v="16"/>
    <x v="0"/>
    <x v="166"/>
    <n v="52.5"/>
    <x v="84"/>
    <d v="2025-03-27T00:00:00"/>
    <x v="2"/>
    <x v="0"/>
    <x v="0"/>
    <x v="0"/>
    <x v="3"/>
    <x v="3"/>
    <x v="12"/>
    <x v="2"/>
  </r>
  <r>
    <x v="2315"/>
    <x v="1"/>
    <x v="1"/>
    <x v="923"/>
    <n v="184.8"/>
    <x v="84"/>
    <d v="2025-04-01T00:00:00"/>
    <x v="2"/>
    <x v="0"/>
    <x v="2"/>
    <x v="0"/>
    <x v="3"/>
    <x v="4"/>
    <x v="12"/>
    <x v="2"/>
  </r>
  <r>
    <x v="2316"/>
    <x v="4"/>
    <x v="5"/>
    <x v="207"/>
    <n v="641.29999999999995"/>
    <x v="84"/>
    <d v="2025-03-28T00:00:00"/>
    <x v="1"/>
    <x v="1"/>
    <x v="2"/>
    <x v="0"/>
    <x v="3"/>
    <x v="1"/>
    <x v="12"/>
    <x v="1"/>
  </r>
  <r>
    <x v="2317"/>
    <x v="6"/>
    <x v="44"/>
    <x v="924"/>
    <n v="3509.7999999999997"/>
    <x v="85"/>
    <d v="2025-03-29T00:00:00"/>
    <x v="0"/>
    <x v="0"/>
    <x v="0"/>
    <x v="0"/>
    <x v="3"/>
    <x v="1"/>
    <x v="12"/>
    <x v="0"/>
  </r>
  <r>
    <x v="2318"/>
    <x v="8"/>
    <x v="1"/>
    <x v="269"/>
    <n v="52"/>
    <x v="85"/>
    <d v="2025-03-27T00:00:00"/>
    <x v="0"/>
    <x v="0"/>
    <x v="1"/>
    <x v="0"/>
    <x v="3"/>
    <x v="7"/>
    <x v="12"/>
    <x v="0"/>
  </r>
  <r>
    <x v="2319"/>
    <x v="1"/>
    <x v="12"/>
    <x v="199"/>
    <n v="132.4"/>
    <x v="85"/>
    <d v="2025-03-27T00:00:00"/>
    <x v="1"/>
    <x v="2"/>
    <x v="4"/>
    <x v="0"/>
    <x v="5"/>
    <x v="7"/>
    <x v="12"/>
    <x v="1"/>
  </r>
  <r>
    <x v="2320"/>
    <x v="18"/>
    <x v="0"/>
    <x v="258"/>
    <n v="51.4"/>
    <x v="85"/>
    <d v="2025-03-29T00:00:00"/>
    <x v="2"/>
    <x v="1"/>
    <x v="1"/>
    <x v="0"/>
    <x v="5"/>
    <x v="1"/>
    <x v="12"/>
    <x v="2"/>
  </r>
  <r>
    <x v="2321"/>
    <x v="8"/>
    <x v="1"/>
    <x v="224"/>
    <n v="60.4"/>
    <x v="85"/>
    <d v="2025-03-28T00:00:00"/>
    <x v="2"/>
    <x v="2"/>
    <x v="2"/>
    <x v="0"/>
    <x v="6"/>
    <x v="3"/>
    <x v="12"/>
    <x v="2"/>
  </r>
  <r>
    <x v="2322"/>
    <x v="2"/>
    <x v="13"/>
    <x v="876"/>
    <n v="582"/>
    <x v="85"/>
    <d v="2025-03-31T00:00:00"/>
    <x v="2"/>
    <x v="0"/>
    <x v="2"/>
    <x v="0"/>
    <x v="7"/>
    <x v="5"/>
    <x v="12"/>
    <x v="2"/>
  </r>
  <r>
    <x v="2323"/>
    <x v="2"/>
    <x v="0"/>
    <x v="863"/>
    <n v="76.900000000000006"/>
    <x v="85"/>
    <d v="2025-03-28T00:00:00"/>
    <x v="1"/>
    <x v="1"/>
    <x v="2"/>
    <x v="0"/>
    <x v="8"/>
    <x v="3"/>
    <x v="12"/>
    <x v="1"/>
  </r>
  <r>
    <x v="2324"/>
    <x v="7"/>
    <x v="13"/>
    <x v="160"/>
    <n v="216.60000000000002"/>
    <x v="85"/>
    <d v="2025-03-31T00:00:00"/>
    <x v="2"/>
    <x v="0"/>
    <x v="0"/>
    <x v="0"/>
    <x v="8"/>
    <x v="5"/>
    <x v="12"/>
    <x v="2"/>
  </r>
  <r>
    <x v="2325"/>
    <x v="1"/>
    <x v="3"/>
    <x v="766"/>
    <n v="240.79999999999998"/>
    <x v="85"/>
    <d v="2025-03-27T00:00:00"/>
    <x v="2"/>
    <x v="2"/>
    <x v="1"/>
    <x v="0"/>
    <x v="11"/>
    <x v="7"/>
    <x v="12"/>
    <x v="2"/>
  </r>
  <r>
    <x v="2326"/>
    <x v="1"/>
    <x v="31"/>
    <x v="230"/>
    <n v="1495.2"/>
    <x v="85"/>
    <d v="2025-03-29T00:00:00"/>
    <x v="2"/>
    <x v="1"/>
    <x v="0"/>
    <x v="0"/>
    <x v="18"/>
    <x v="1"/>
    <x v="12"/>
    <x v="2"/>
  </r>
  <r>
    <x v="2327"/>
    <x v="2"/>
    <x v="0"/>
    <x v="312"/>
    <n v="77.599999999999994"/>
    <x v="85"/>
    <d v="2025-03-28T00:00:00"/>
    <x v="2"/>
    <x v="0"/>
    <x v="1"/>
    <x v="0"/>
    <x v="19"/>
    <x v="3"/>
    <x v="12"/>
    <x v="2"/>
  </r>
  <r>
    <x v="2328"/>
    <x v="1"/>
    <x v="2"/>
    <x v="925"/>
    <n v="215.10000000000002"/>
    <x v="85"/>
    <d v="2025-03-30T00:00:00"/>
    <x v="2"/>
    <x v="1"/>
    <x v="0"/>
    <x v="0"/>
    <x v="19"/>
    <x v="2"/>
    <x v="12"/>
    <x v="2"/>
  </r>
  <r>
    <x v="2329"/>
    <x v="3"/>
    <x v="2"/>
    <x v="853"/>
    <n v="241.79999999999998"/>
    <x v="85"/>
    <d v="2025-03-28T00:00:00"/>
    <x v="1"/>
    <x v="4"/>
    <x v="1"/>
    <x v="0"/>
    <x v="19"/>
    <x v="3"/>
    <x v="12"/>
    <x v="1"/>
  </r>
  <r>
    <x v="2330"/>
    <x v="1"/>
    <x v="20"/>
    <x v="579"/>
    <n v="1050"/>
    <x v="85"/>
    <d v="2025-03-29T00:00:00"/>
    <x v="1"/>
    <x v="0"/>
    <x v="0"/>
    <x v="0"/>
    <x v="20"/>
    <x v="1"/>
    <x v="12"/>
    <x v="1"/>
  </r>
  <r>
    <x v="2331"/>
    <x v="4"/>
    <x v="13"/>
    <x v="807"/>
    <n v="163.80000000000001"/>
    <x v="85"/>
    <d v="2025-03-29T00:00:00"/>
    <x v="2"/>
    <x v="1"/>
    <x v="1"/>
    <x v="0"/>
    <x v="2"/>
    <x v="1"/>
    <x v="12"/>
    <x v="2"/>
  </r>
  <r>
    <x v="2332"/>
    <x v="8"/>
    <x v="21"/>
    <x v="410"/>
    <n v="526.4"/>
    <x v="85"/>
    <d v="2025-03-29T00:00:00"/>
    <x v="1"/>
    <x v="1"/>
    <x v="0"/>
    <x v="0"/>
    <x v="3"/>
    <x v="1"/>
    <x v="12"/>
    <x v="1"/>
  </r>
  <r>
    <x v="2333"/>
    <x v="5"/>
    <x v="2"/>
    <x v="17"/>
    <n v="109.80000000000001"/>
    <x v="85"/>
    <d v="2025-03-29T00:00:00"/>
    <x v="2"/>
    <x v="4"/>
    <x v="0"/>
    <x v="0"/>
    <x v="3"/>
    <x v="1"/>
    <x v="12"/>
    <x v="2"/>
  </r>
  <r>
    <x v="2334"/>
    <x v="13"/>
    <x v="0"/>
    <x v="204"/>
    <n v="55.2"/>
    <x v="85"/>
    <d v="2025-03-29T00:00:00"/>
    <x v="1"/>
    <x v="3"/>
    <x v="0"/>
    <x v="0"/>
    <x v="3"/>
    <x v="1"/>
    <x v="12"/>
    <x v="1"/>
  </r>
  <r>
    <x v="2335"/>
    <x v="6"/>
    <x v="9"/>
    <x v="316"/>
    <n v="299.5"/>
    <x v="85"/>
    <d v="2025-03-29T00:00:00"/>
    <x v="1"/>
    <x v="0"/>
    <x v="0"/>
    <x v="0"/>
    <x v="3"/>
    <x v="1"/>
    <x v="12"/>
    <x v="1"/>
  </r>
  <r>
    <x v="2336"/>
    <x v="6"/>
    <x v="0"/>
    <x v="548"/>
    <n v="44"/>
    <x v="85"/>
    <d v="2025-03-28T00:00:00"/>
    <x v="2"/>
    <x v="2"/>
    <x v="2"/>
    <x v="0"/>
    <x v="3"/>
    <x v="3"/>
    <x v="12"/>
    <x v="2"/>
  </r>
  <r>
    <x v="2337"/>
    <x v="9"/>
    <x v="1"/>
    <x v="596"/>
    <n v="137.4"/>
    <x v="85"/>
    <d v="2025-03-27T00:00:00"/>
    <x v="1"/>
    <x v="0"/>
    <x v="0"/>
    <x v="0"/>
    <x v="3"/>
    <x v="7"/>
    <x v="12"/>
    <x v="1"/>
  </r>
  <r>
    <x v="2338"/>
    <x v="5"/>
    <x v="1"/>
    <x v="480"/>
    <n v="123.2"/>
    <x v="85"/>
    <d v="2025-03-31T00:00:00"/>
    <x v="1"/>
    <x v="3"/>
    <x v="1"/>
    <x v="0"/>
    <x v="3"/>
    <x v="5"/>
    <x v="12"/>
    <x v="1"/>
  </r>
  <r>
    <x v="2339"/>
    <x v="7"/>
    <x v="3"/>
    <x v="147"/>
    <n v="362.59999999999997"/>
    <x v="85"/>
    <d v="2025-03-28T00:00:00"/>
    <x v="1"/>
    <x v="0"/>
    <x v="0"/>
    <x v="0"/>
    <x v="3"/>
    <x v="3"/>
    <x v="12"/>
    <x v="1"/>
  </r>
  <r>
    <x v="2340"/>
    <x v="8"/>
    <x v="7"/>
    <x v="193"/>
    <n v="462"/>
    <x v="85"/>
    <d v="2025-03-29T00:00:00"/>
    <x v="1"/>
    <x v="1"/>
    <x v="2"/>
    <x v="0"/>
    <x v="3"/>
    <x v="1"/>
    <x v="12"/>
    <x v="1"/>
  </r>
  <r>
    <x v="2341"/>
    <x v="0"/>
    <x v="1"/>
    <x v="918"/>
    <n v="38.799999999999997"/>
    <x v="85"/>
    <d v="2025-03-29T00:00:00"/>
    <x v="2"/>
    <x v="1"/>
    <x v="2"/>
    <x v="0"/>
    <x v="6"/>
    <x v="1"/>
    <x v="12"/>
    <x v="2"/>
  </r>
  <r>
    <x v="2342"/>
    <x v="11"/>
    <x v="2"/>
    <x v="184"/>
    <n v="156.30000000000001"/>
    <x v="85"/>
    <d v="2025-03-30T00:00:00"/>
    <x v="1"/>
    <x v="3"/>
    <x v="3"/>
    <x v="0"/>
    <x v="6"/>
    <x v="2"/>
    <x v="12"/>
    <x v="1"/>
  </r>
  <r>
    <x v="2343"/>
    <x v="6"/>
    <x v="0"/>
    <x v="285"/>
    <n v="74.900000000000006"/>
    <x v="85"/>
    <d v="2025-03-29T00:00:00"/>
    <x v="3"/>
    <x v="0"/>
    <x v="0"/>
    <x v="0"/>
    <x v="7"/>
    <x v="1"/>
    <x v="12"/>
    <x v="3"/>
  </r>
  <r>
    <x v="2344"/>
    <x v="9"/>
    <x v="3"/>
    <x v="659"/>
    <n v="347.2"/>
    <x v="85"/>
    <d v="2025-03-30T00:00:00"/>
    <x v="2"/>
    <x v="4"/>
    <x v="0"/>
    <x v="0"/>
    <x v="8"/>
    <x v="2"/>
    <x v="12"/>
    <x v="2"/>
  </r>
  <r>
    <x v="2345"/>
    <x v="16"/>
    <x v="12"/>
    <x v="921"/>
    <n v="331.2"/>
    <x v="86"/>
    <d v="2025-03-31T00:00:00"/>
    <x v="2"/>
    <x v="4"/>
    <x v="0"/>
    <x v="0"/>
    <x v="8"/>
    <x v="2"/>
    <x v="12"/>
    <x v="2"/>
  </r>
  <r>
    <x v="2346"/>
    <x v="2"/>
    <x v="0"/>
    <x v="67"/>
    <n v="97.7"/>
    <x v="86"/>
    <d v="2025-03-29T00:00:00"/>
    <x v="2"/>
    <x v="1"/>
    <x v="0"/>
    <x v="0"/>
    <x v="8"/>
    <x v="3"/>
    <x v="12"/>
    <x v="2"/>
  </r>
  <r>
    <x v="2347"/>
    <x v="6"/>
    <x v="9"/>
    <x v="331"/>
    <n v="418"/>
    <x v="86"/>
    <d v="2025-03-29T00:00:00"/>
    <x v="2"/>
    <x v="4"/>
    <x v="0"/>
    <x v="0"/>
    <x v="8"/>
    <x v="3"/>
    <x v="12"/>
    <x v="2"/>
  </r>
  <r>
    <x v="2348"/>
    <x v="8"/>
    <x v="9"/>
    <x v="234"/>
    <n v="117.5"/>
    <x v="86"/>
    <d v="2025-04-01T00:00:00"/>
    <x v="3"/>
    <x v="0"/>
    <x v="0"/>
    <x v="0"/>
    <x v="8"/>
    <x v="5"/>
    <x v="12"/>
    <x v="3"/>
  </r>
  <r>
    <x v="2349"/>
    <x v="9"/>
    <x v="2"/>
    <x v="926"/>
    <n v="133.80000000000001"/>
    <x v="86"/>
    <d v="2025-03-31T00:00:00"/>
    <x v="2"/>
    <x v="4"/>
    <x v="1"/>
    <x v="0"/>
    <x v="26"/>
    <x v="2"/>
    <x v="12"/>
    <x v="2"/>
  </r>
  <r>
    <x v="2350"/>
    <x v="0"/>
    <x v="2"/>
    <x v="260"/>
    <n v="60.300000000000004"/>
    <x v="86"/>
    <d v="2025-03-30T00:00:00"/>
    <x v="2"/>
    <x v="3"/>
    <x v="4"/>
    <x v="0"/>
    <x v="11"/>
    <x v="1"/>
    <x v="12"/>
    <x v="2"/>
  </r>
  <r>
    <x v="2351"/>
    <x v="2"/>
    <x v="9"/>
    <x v="927"/>
    <n v="768"/>
    <x v="86"/>
    <d v="2025-03-29T00:00:00"/>
    <x v="2"/>
    <x v="1"/>
    <x v="2"/>
    <x v="0"/>
    <x v="53"/>
    <x v="3"/>
    <x v="12"/>
    <x v="2"/>
  </r>
  <r>
    <x v="2352"/>
    <x v="1"/>
    <x v="1"/>
    <x v="928"/>
    <n v="143.6"/>
    <x v="86"/>
    <d v="2025-04-01T00:00:00"/>
    <x v="2"/>
    <x v="1"/>
    <x v="0"/>
    <x v="0"/>
    <x v="1"/>
    <x v="5"/>
    <x v="12"/>
    <x v="2"/>
  </r>
  <r>
    <x v="2353"/>
    <x v="10"/>
    <x v="0"/>
    <x v="337"/>
    <n v="64.7"/>
    <x v="86"/>
    <d v="2025-03-30T00:00:00"/>
    <x v="0"/>
    <x v="0"/>
    <x v="1"/>
    <x v="0"/>
    <x v="1"/>
    <x v="1"/>
    <x v="12"/>
    <x v="0"/>
  </r>
  <r>
    <x v="2354"/>
    <x v="9"/>
    <x v="8"/>
    <x v="247"/>
    <n v="483.2"/>
    <x v="86"/>
    <d v="2025-03-30T00:00:00"/>
    <x v="2"/>
    <x v="3"/>
    <x v="2"/>
    <x v="0"/>
    <x v="2"/>
    <x v="1"/>
    <x v="12"/>
    <x v="2"/>
  </r>
  <r>
    <x v="2355"/>
    <x v="6"/>
    <x v="12"/>
    <x v="797"/>
    <n v="344"/>
    <x v="86"/>
    <d v="2025-03-31T00:00:00"/>
    <x v="2"/>
    <x v="2"/>
    <x v="2"/>
    <x v="0"/>
    <x v="22"/>
    <x v="2"/>
    <x v="12"/>
    <x v="2"/>
  </r>
  <r>
    <x v="2356"/>
    <x v="12"/>
    <x v="1"/>
    <x v="624"/>
    <n v="84.2"/>
    <x v="86"/>
    <d v="2025-03-29T00:00:00"/>
    <x v="2"/>
    <x v="4"/>
    <x v="1"/>
    <x v="0"/>
    <x v="34"/>
    <x v="3"/>
    <x v="12"/>
    <x v="2"/>
  </r>
  <r>
    <x v="2357"/>
    <x v="16"/>
    <x v="11"/>
    <x v="18"/>
    <n v="459.90000000000003"/>
    <x v="86"/>
    <d v="2025-03-29T00:00:00"/>
    <x v="1"/>
    <x v="2"/>
    <x v="1"/>
    <x v="0"/>
    <x v="3"/>
    <x v="3"/>
    <x v="12"/>
    <x v="1"/>
  </r>
  <r>
    <x v="2358"/>
    <x v="9"/>
    <x v="12"/>
    <x v="773"/>
    <n v="295.2"/>
    <x v="86"/>
    <d v="2025-03-29T00:00:00"/>
    <x v="1"/>
    <x v="4"/>
    <x v="0"/>
    <x v="0"/>
    <x v="3"/>
    <x v="3"/>
    <x v="12"/>
    <x v="1"/>
  </r>
  <r>
    <x v="2359"/>
    <x v="8"/>
    <x v="9"/>
    <x v="49"/>
    <n v="135"/>
    <x v="86"/>
    <d v="2025-03-31T00:00:00"/>
    <x v="2"/>
    <x v="2"/>
    <x v="2"/>
    <x v="0"/>
    <x v="3"/>
    <x v="2"/>
    <x v="12"/>
    <x v="2"/>
  </r>
  <r>
    <x v="2360"/>
    <x v="8"/>
    <x v="13"/>
    <x v="110"/>
    <n v="360.6"/>
    <x v="86"/>
    <d v="2025-03-29T00:00:00"/>
    <x v="1"/>
    <x v="3"/>
    <x v="0"/>
    <x v="0"/>
    <x v="3"/>
    <x v="3"/>
    <x v="12"/>
    <x v="1"/>
  </r>
  <r>
    <x v="2361"/>
    <x v="2"/>
    <x v="3"/>
    <x v="252"/>
    <n v="658.69999999999993"/>
    <x v="86"/>
    <d v="2025-03-30T00:00:00"/>
    <x v="2"/>
    <x v="4"/>
    <x v="1"/>
    <x v="0"/>
    <x v="3"/>
    <x v="1"/>
    <x v="12"/>
    <x v="2"/>
  </r>
  <r>
    <x v="2362"/>
    <x v="2"/>
    <x v="1"/>
    <x v="778"/>
    <n v="248.2"/>
    <x v="86"/>
    <d v="2025-03-28T00:00:00"/>
    <x v="2"/>
    <x v="2"/>
    <x v="3"/>
    <x v="0"/>
    <x v="43"/>
    <x v="7"/>
    <x v="12"/>
    <x v="2"/>
  </r>
  <r>
    <x v="2363"/>
    <x v="8"/>
    <x v="12"/>
    <x v="929"/>
    <n v="67.599999999999994"/>
    <x v="86"/>
    <d v="2025-03-31T00:00:00"/>
    <x v="1"/>
    <x v="3"/>
    <x v="0"/>
    <x v="0"/>
    <x v="6"/>
    <x v="2"/>
    <x v="12"/>
    <x v="1"/>
  </r>
  <r>
    <x v="2364"/>
    <x v="1"/>
    <x v="0"/>
    <x v="711"/>
    <n v="36.9"/>
    <x v="86"/>
    <d v="2025-03-29T00:00:00"/>
    <x v="1"/>
    <x v="0"/>
    <x v="0"/>
    <x v="0"/>
    <x v="6"/>
    <x v="3"/>
    <x v="12"/>
    <x v="1"/>
  </r>
  <r>
    <x v="2365"/>
    <x v="9"/>
    <x v="1"/>
    <x v="351"/>
    <n v="45.2"/>
    <x v="86"/>
    <d v="2025-04-10T00:00:00"/>
    <x v="2"/>
    <x v="2"/>
    <x v="1"/>
    <x v="0"/>
    <x v="8"/>
    <x v="10"/>
    <x v="12"/>
    <x v="2"/>
  </r>
  <r>
    <x v="2366"/>
    <x v="7"/>
    <x v="12"/>
    <x v="775"/>
    <n v="140"/>
    <x v="86"/>
    <d v="2025-04-02T00:00:00"/>
    <x v="1"/>
    <x v="3"/>
    <x v="1"/>
    <x v="0"/>
    <x v="8"/>
    <x v="0"/>
    <x v="12"/>
    <x v="1"/>
  </r>
  <r>
    <x v="2367"/>
    <x v="9"/>
    <x v="13"/>
    <x v="305"/>
    <n v="381.6"/>
    <x v="86"/>
    <d v="2025-04-04T00:00:00"/>
    <x v="0"/>
    <x v="1"/>
    <x v="2"/>
    <x v="0"/>
    <x v="8"/>
    <x v="6"/>
    <x v="12"/>
    <x v="0"/>
  </r>
  <r>
    <x v="2368"/>
    <x v="15"/>
    <x v="12"/>
    <x v="716"/>
    <n v="314.39999999999998"/>
    <x v="86"/>
    <d v="2025-03-29T00:00:00"/>
    <x v="1"/>
    <x v="4"/>
    <x v="1"/>
    <x v="0"/>
    <x v="8"/>
    <x v="3"/>
    <x v="12"/>
    <x v="1"/>
  </r>
  <r>
    <x v="2369"/>
    <x v="3"/>
    <x v="1"/>
    <x v="153"/>
    <n v="77"/>
    <x v="86"/>
    <d v="2025-03-29T00:00:00"/>
    <x v="1"/>
    <x v="0"/>
    <x v="2"/>
    <x v="0"/>
    <x v="8"/>
    <x v="3"/>
    <x v="12"/>
    <x v="1"/>
  </r>
  <r>
    <x v="2370"/>
    <x v="8"/>
    <x v="5"/>
    <x v="674"/>
    <n v="786.5"/>
    <x v="86"/>
    <d v="2025-03-29T00:00:00"/>
    <x v="2"/>
    <x v="1"/>
    <x v="4"/>
    <x v="0"/>
    <x v="8"/>
    <x v="3"/>
    <x v="12"/>
    <x v="2"/>
  </r>
  <r>
    <x v="2371"/>
    <x v="6"/>
    <x v="12"/>
    <x v="930"/>
    <n v="485.6"/>
    <x v="86"/>
    <d v="2025-04-01T00:00:00"/>
    <x v="1"/>
    <x v="1"/>
    <x v="2"/>
    <x v="0"/>
    <x v="17"/>
    <x v="5"/>
    <x v="12"/>
    <x v="1"/>
  </r>
  <r>
    <x v="2372"/>
    <x v="11"/>
    <x v="0"/>
    <x v="931"/>
    <n v="40.200000000000003"/>
    <x v="86"/>
    <d v="2025-03-31T00:00:00"/>
    <x v="2"/>
    <x v="0"/>
    <x v="2"/>
    <x v="0"/>
    <x v="11"/>
    <x v="2"/>
    <x v="12"/>
    <x v="2"/>
  </r>
  <r>
    <x v="2373"/>
    <x v="5"/>
    <x v="9"/>
    <x v="590"/>
    <n v="159.5"/>
    <x v="86"/>
    <d v="2025-03-30T00:00:00"/>
    <x v="2"/>
    <x v="2"/>
    <x v="2"/>
    <x v="0"/>
    <x v="28"/>
    <x v="1"/>
    <x v="12"/>
    <x v="2"/>
  </r>
  <r>
    <x v="2374"/>
    <x v="14"/>
    <x v="9"/>
    <x v="35"/>
    <n v="79"/>
    <x v="87"/>
    <d v="2025-03-30T00:00:00"/>
    <x v="1"/>
    <x v="3"/>
    <x v="2"/>
    <x v="0"/>
    <x v="21"/>
    <x v="3"/>
    <x v="12"/>
    <x v="1"/>
  </r>
  <r>
    <x v="2375"/>
    <x v="10"/>
    <x v="1"/>
    <x v="403"/>
    <n v="50.2"/>
    <x v="87"/>
    <d v="2025-03-31T00:00:00"/>
    <x v="0"/>
    <x v="1"/>
    <x v="0"/>
    <x v="0"/>
    <x v="21"/>
    <x v="1"/>
    <x v="12"/>
    <x v="0"/>
  </r>
  <r>
    <x v="2376"/>
    <x v="1"/>
    <x v="44"/>
    <x v="202"/>
    <n v="876.30000000000007"/>
    <x v="87"/>
    <d v="2025-03-30T00:00:00"/>
    <x v="2"/>
    <x v="4"/>
    <x v="0"/>
    <x v="0"/>
    <x v="1"/>
    <x v="3"/>
    <x v="12"/>
    <x v="2"/>
  </r>
  <r>
    <x v="2377"/>
    <x v="3"/>
    <x v="1"/>
    <x v="567"/>
    <n v="84.4"/>
    <x v="87"/>
    <d v="2025-03-31T00:00:00"/>
    <x v="2"/>
    <x v="0"/>
    <x v="2"/>
    <x v="0"/>
    <x v="1"/>
    <x v="1"/>
    <x v="12"/>
    <x v="2"/>
  </r>
  <r>
    <x v="2378"/>
    <x v="0"/>
    <x v="7"/>
    <x v="932"/>
    <n v="123"/>
    <x v="87"/>
    <d v="2025-03-30T00:00:00"/>
    <x v="2"/>
    <x v="4"/>
    <x v="0"/>
    <x v="0"/>
    <x v="2"/>
    <x v="3"/>
    <x v="12"/>
    <x v="2"/>
  </r>
  <r>
    <x v="2379"/>
    <x v="7"/>
    <x v="0"/>
    <x v="224"/>
    <n v="30.2"/>
    <x v="87"/>
    <d v="2025-03-31T00:00:00"/>
    <x v="2"/>
    <x v="1"/>
    <x v="2"/>
    <x v="0"/>
    <x v="34"/>
    <x v="1"/>
    <x v="12"/>
    <x v="2"/>
  </r>
  <r>
    <x v="2380"/>
    <x v="5"/>
    <x v="2"/>
    <x v="631"/>
    <n v="75.900000000000006"/>
    <x v="87"/>
    <d v="2025-04-01T00:00:00"/>
    <x v="2"/>
    <x v="2"/>
    <x v="0"/>
    <x v="0"/>
    <x v="3"/>
    <x v="2"/>
    <x v="12"/>
    <x v="2"/>
  </r>
  <r>
    <x v="2381"/>
    <x v="8"/>
    <x v="9"/>
    <x v="47"/>
    <n v="148.5"/>
    <x v="87"/>
    <d v="2025-03-31T00:00:00"/>
    <x v="1"/>
    <x v="3"/>
    <x v="0"/>
    <x v="0"/>
    <x v="3"/>
    <x v="1"/>
    <x v="12"/>
    <x v="1"/>
  </r>
  <r>
    <x v="2382"/>
    <x v="9"/>
    <x v="8"/>
    <x v="619"/>
    <n v="263.2"/>
    <x v="87"/>
    <d v="2025-03-30T00:00:00"/>
    <x v="0"/>
    <x v="3"/>
    <x v="2"/>
    <x v="0"/>
    <x v="3"/>
    <x v="3"/>
    <x v="12"/>
    <x v="0"/>
  </r>
  <r>
    <x v="2383"/>
    <x v="10"/>
    <x v="1"/>
    <x v="458"/>
    <n v="87.2"/>
    <x v="87"/>
    <d v="2025-03-30T00:00:00"/>
    <x v="1"/>
    <x v="1"/>
    <x v="2"/>
    <x v="0"/>
    <x v="3"/>
    <x v="3"/>
    <x v="12"/>
    <x v="1"/>
  </r>
  <r>
    <x v="2384"/>
    <x v="15"/>
    <x v="12"/>
    <x v="473"/>
    <n v="313.60000000000002"/>
    <x v="87"/>
    <d v="2025-03-30T00:00:00"/>
    <x v="1"/>
    <x v="2"/>
    <x v="0"/>
    <x v="0"/>
    <x v="3"/>
    <x v="3"/>
    <x v="12"/>
    <x v="1"/>
  </r>
  <r>
    <x v="2385"/>
    <x v="6"/>
    <x v="1"/>
    <x v="448"/>
    <n v="113"/>
    <x v="87"/>
    <d v="2025-04-02T00:00:00"/>
    <x v="1"/>
    <x v="1"/>
    <x v="1"/>
    <x v="0"/>
    <x v="3"/>
    <x v="5"/>
    <x v="12"/>
    <x v="1"/>
  </r>
  <r>
    <x v="2386"/>
    <x v="16"/>
    <x v="0"/>
    <x v="294"/>
    <n v="36.700000000000003"/>
    <x v="87"/>
    <d v="2025-03-30T00:00:00"/>
    <x v="2"/>
    <x v="0"/>
    <x v="2"/>
    <x v="0"/>
    <x v="3"/>
    <x v="3"/>
    <x v="12"/>
    <x v="2"/>
  </r>
  <r>
    <x v="2387"/>
    <x v="2"/>
    <x v="12"/>
    <x v="319"/>
    <n v="414.4"/>
    <x v="87"/>
    <d v="2025-04-09T00:00:00"/>
    <x v="1"/>
    <x v="4"/>
    <x v="2"/>
    <x v="0"/>
    <x v="3"/>
    <x v="11"/>
    <x v="12"/>
    <x v="1"/>
  </r>
  <r>
    <x v="2388"/>
    <x v="8"/>
    <x v="13"/>
    <x v="261"/>
    <n v="97.199999999999989"/>
    <x v="87"/>
    <d v="2025-04-02T00:00:00"/>
    <x v="1"/>
    <x v="1"/>
    <x v="2"/>
    <x v="0"/>
    <x v="6"/>
    <x v="5"/>
    <x v="12"/>
    <x v="1"/>
  </r>
  <r>
    <x v="2389"/>
    <x v="8"/>
    <x v="1"/>
    <x v="736"/>
    <n v="40.4"/>
    <x v="87"/>
    <d v="2025-03-30T00:00:00"/>
    <x v="2"/>
    <x v="0"/>
    <x v="0"/>
    <x v="0"/>
    <x v="6"/>
    <x v="3"/>
    <x v="12"/>
    <x v="2"/>
  </r>
  <r>
    <x v="2390"/>
    <x v="11"/>
    <x v="1"/>
    <x v="436"/>
    <n v="53.8"/>
    <x v="87"/>
    <d v="2025-03-31T00:00:00"/>
    <x v="2"/>
    <x v="2"/>
    <x v="0"/>
    <x v="0"/>
    <x v="6"/>
    <x v="1"/>
    <x v="12"/>
    <x v="2"/>
  </r>
  <r>
    <x v="2391"/>
    <x v="1"/>
    <x v="1"/>
    <x v="844"/>
    <n v="164.8"/>
    <x v="87"/>
    <d v="2025-04-01T00:00:00"/>
    <x v="0"/>
    <x v="0"/>
    <x v="0"/>
    <x v="0"/>
    <x v="7"/>
    <x v="2"/>
    <x v="12"/>
    <x v="0"/>
  </r>
  <r>
    <x v="2392"/>
    <x v="2"/>
    <x v="1"/>
    <x v="933"/>
    <n v="235.6"/>
    <x v="87"/>
    <d v="2025-03-31T00:00:00"/>
    <x v="1"/>
    <x v="1"/>
    <x v="2"/>
    <x v="0"/>
    <x v="8"/>
    <x v="1"/>
    <x v="12"/>
    <x v="1"/>
  </r>
  <r>
    <x v="2393"/>
    <x v="11"/>
    <x v="12"/>
    <x v="294"/>
    <n v="146.80000000000001"/>
    <x v="87"/>
    <d v="2025-03-30T00:00:00"/>
    <x v="1"/>
    <x v="1"/>
    <x v="0"/>
    <x v="0"/>
    <x v="8"/>
    <x v="3"/>
    <x v="12"/>
    <x v="1"/>
  </r>
  <r>
    <x v="2394"/>
    <x v="17"/>
    <x v="2"/>
    <x v="84"/>
    <n v="140.39999999999998"/>
    <x v="87"/>
    <d v="2025-03-30T00:00:00"/>
    <x v="1"/>
    <x v="4"/>
    <x v="2"/>
    <x v="0"/>
    <x v="10"/>
    <x v="3"/>
    <x v="12"/>
    <x v="1"/>
  </r>
  <r>
    <x v="2395"/>
    <x v="3"/>
    <x v="0"/>
    <x v="854"/>
    <n v="61.4"/>
    <x v="87"/>
    <d v="2025-03-30T00:00:00"/>
    <x v="1"/>
    <x v="1"/>
    <x v="0"/>
    <x v="0"/>
    <x v="10"/>
    <x v="3"/>
    <x v="12"/>
    <x v="1"/>
  </r>
  <r>
    <x v="2396"/>
    <x v="15"/>
    <x v="1"/>
    <x v="409"/>
    <n v="45.8"/>
    <x v="87"/>
    <d v="2025-03-30T00:00:00"/>
    <x v="1"/>
    <x v="0"/>
    <x v="0"/>
    <x v="0"/>
    <x v="11"/>
    <x v="3"/>
    <x v="12"/>
    <x v="1"/>
  </r>
  <r>
    <x v="2397"/>
    <x v="10"/>
    <x v="1"/>
    <x v="237"/>
    <n v="44.2"/>
    <x v="87"/>
    <d v="2025-03-30T00:00:00"/>
    <x v="2"/>
    <x v="4"/>
    <x v="0"/>
    <x v="0"/>
    <x v="11"/>
    <x v="3"/>
    <x v="12"/>
    <x v="2"/>
  </r>
  <r>
    <x v="2398"/>
    <x v="12"/>
    <x v="1"/>
    <x v="452"/>
    <n v="62"/>
    <x v="87"/>
    <d v="2025-03-31T00:00:00"/>
    <x v="2"/>
    <x v="2"/>
    <x v="0"/>
    <x v="0"/>
    <x v="18"/>
    <x v="1"/>
    <x v="12"/>
    <x v="2"/>
  </r>
  <r>
    <x v="2399"/>
    <x v="18"/>
    <x v="1"/>
    <x v="636"/>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7D1D02-D11E-45B0-BE37-BB682EB54B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F10FE7-B16F-4CA6-9E7E-A913DB9CC801}"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9:B1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150D00-F60E-4EBC-B9C0-183F853F1E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505D07-42C9-404A-B81B-9F7B98240C0A}"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16">
    <chartFormat chart="13" format="0" series="1">
      <pivotArea type="data" outline="0" fieldPosition="0">
        <references count="2">
          <reference field="4294967294" count="1" selected="0">
            <x v="0"/>
          </reference>
          <reference field="14" count="1" selected="0">
            <x v="0"/>
          </reference>
        </references>
      </pivotArea>
    </chartFormat>
    <chartFormat chart="13" format="1" series="1">
      <pivotArea type="data" outline="0" fieldPosition="0">
        <references count="2">
          <reference field="4294967294" count="1" selected="0">
            <x v="0"/>
          </reference>
          <reference field="14" count="1" selected="0">
            <x v="1"/>
          </reference>
        </references>
      </pivotArea>
    </chartFormat>
    <chartFormat chart="13" format="2" series="1">
      <pivotArea type="data" outline="0" fieldPosition="0">
        <references count="2">
          <reference field="4294967294" count="1" selected="0">
            <x v="0"/>
          </reference>
          <reference field="14" count="1" selected="0">
            <x v="2"/>
          </reference>
        </references>
      </pivotArea>
    </chartFormat>
    <chartFormat chart="13" format="3" series="1">
      <pivotArea type="data" outline="0" fieldPosition="0">
        <references count="2">
          <reference field="4294967294" count="1" selected="0">
            <x v="0"/>
          </reference>
          <reference field="14" count="1" selected="0">
            <x v="3"/>
          </reference>
        </references>
      </pivotArea>
    </chartFormat>
    <chartFormat chart="15" format="8" series="1">
      <pivotArea type="data" outline="0" fieldPosition="0">
        <references count="2">
          <reference field="4294967294" count="1" selected="0">
            <x v="0"/>
          </reference>
          <reference field="14" count="1" selected="0">
            <x v="0"/>
          </reference>
        </references>
      </pivotArea>
    </chartFormat>
    <chartFormat chart="15" format="9" series="1">
      <pivotArea type="data" outline="0" fieldPosition="0">
        <references count="2">
          <reference field="4294967294" count="1" selected="0">
            <x v="0"/>
          </reference>
          <reference field="14" count="1" selected="0">
            <x v="1"/>
          </reference>
        </references>
      </pivotArea>
    </chartFormat>
    <chartFormat chart="15" format="10" series="1">
      <pivotArea type="data" outline="0" fieldPosition="0">
        <references count="2">
          <reference field="4294967294" count="1" selected="0">
            <x v="0"/>
          </reference>
          <reference field="14" count="1" selected="0">
            <x v="2"/>
          </reference>
        </references>
      </pivotArea>
    </chartFormat>
    <chartFormat chart="15" format="11" series="1">
      <pivotArea type="data" outline="0" fieldPosition="0">
        <references count="2">
          <reference field="4294967294" count="1" selected="0">
            <x v="0"/>
          </reference>
          <reference field="14" count="1" selected="0">
            <x v="3"/>
          </reference>
        </references>
      </pivotArea>
    </chartFormat>
    <chartFormat chart="17" format="0" series="1">
      <pivotArea type="data" outline="0" fieldPosition="0">
        <references count="2">
          <reference field="4294967294" count="1" selected="0">
            <x v="0"/>
          </reference>
          <reference field="14" count="1" selected="0">
            <x v="0"/>
          </reference>
        </references>
      </pivotArea>
    </chartFormat>
    <chartFormat chart="17" format="1" series="1">
      <pivotArea type="data" outline="0" fieldPosition="0">
        <references count="2">
          <reference field="4294967294" count="1" selected="0">
            <x v="0"/>
          </reference>
          <reference field="14" count="1" selected="0">
            <x v="1"/>
          </reference>
        </references>
      </pivotArea>
    </chartFormat>
    <chartFormat chart="17" format="2" series="1">
      <pivotArea type="data" outline="0" fieldPosition="0">
        <references count="2">
          <reference field="4294967294" count="1" selected="0">
            <x v="0"/>
          </reference>
          <reference field="14" count="1" selected="0">
            <x v="2"/>
          </reference>
        </references>
      </pivotArea>
    </chartFormat>
    <chartFormat chart="17" format="3" series="1">
      <pivotArea type="data" outline="0" fieldPosition="0">
        <references count="2">
          <reference field="4294967294" count="1" selected="0">
            <x v="0"/>
          </reference>
          <reference field="14" count="1" selected="0">
            <x v="3"/>
          </reference>
        </references>
      </pivotArea>
    </chartFormat>
    <chartFormat chart="24" format="8" series="1">
      <pivotArea type="data" outline="0" fieldPosition="0">
        <references count="2">
          <reference field="4294967294" count="1" selected="0">
            <x v="0"/>
          </reference>
          <reference field="14" count="1" selected="0">
            <x v="0"/>
          </reference>
        </references>
      </pivotArea>
    </chartFormat>
    <chartFormat chart="24" format="9" series="1">
      <pivotArea type="data" outline="0" fieldPosition="0">
        <references count="2">
          <reference field="4294967294" count="1" selected="0">
            <x v="0"/>
          </reference>
          <reference field="14" count="1" selected="0">
            <x v="1"/>
          </reference>
        </references>
      </pivotArea>
    </chartFormat>
    <chartFormat chart="24" format="10" series="1">
      <pivotArea type="data" outline="0" fieldPosition="0">
        <references count="2">
          <reference field="4294967294" count="1" selected="0">
            <x v="0"/>
          </reference>
          <reference field="14" count="1" selected="0">
            <x v="2"/>
          </reference>
        </references>
      </pivotArea>
    </chartFormat>
    <chartFormat chart="2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D3DBE8-F0A5-48B4-B478-B3B983D719E4}"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3:J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4">
    <chartFormat chart="13" format="0" series="1">
      <pivotArea type="data" outline="0" fieldPosition="0">
        <references count="2">
          <reference field="4294967294" count="1" selected="0">
            <x v="0"/>
          </reference>
          <reference field="14" count="1" selected="0">
            <x v="0"/>
          </reference>
        </references>
      </pivotArea>
    </chartFormat>
    <chartFormat chart="13" format="1" series="1">
      <pivotArea type="data" outline="0" fieldPosition="0">
        <references count="2">
          <reference field="4294967294" count="1" selected="0">
            <x v="0"/>
          </reference>
          <reference field="14" count="1" selected="0">
            <x v="1"/>
          </reference>
        </references>
      </pivotArea>
    </chartFormat>
    <chartFormat chart="13" format="2" series="1">
      <pivotArea type="data" outline="0" fieldPosition="0">
        <references count="2">
          <reference field="4294967294" count="1" selected="0">
            <x v="0"/>
          </reference>
          <reference field="14" count="1" selected="0">
            <x v="2"/>
          </reference>
        </references>
      </pivotArea>
    </chartFormat>
    <chartFormat chart="13" format="3" series="1">
      <pivotArea type="data" outline="0" fieldPosition="0">
        <references count="2">
          <reference field="4294967294" count="1" selected="0">
            <x v="0"/>
          </reference>
          <reference field="14" count="1" selected="0">
            <x v="3"/>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4" count="1" selected="0">
            <x v="0"/>
          </reference>
        </references>
      </pivotArea>
    </chartFormat>
    <chartFormat chart="20" format="2">
      <pivotArea type="data" outline="0" fieldPosition="0">
        <references count="2">
          <reference field="4294967294" count="1" selected="0">
            <x v="0"/>
          </reference>
          <reference field="14" count="1" selected="0">
            <x v="1"/>
          </reference>
        </references>
      </pivotArea>
    </chartFormat>
    <chartFormat chart="20" format="3">
      <pivotArea type="data" outline="0" fieldPosition="0">
        <references count="2">
          <reference field="4294967294" count="1" selected="0">
            <x v="0"/>
          </reference>
          <reference field="14" count="1" selected="0">
            <x v="3"/>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4" count="1" selected="0">
            <x v="0"/>
          </reference>
        </references>
      </pivotArea>
    </chartFormat>
    <chartFormat chart="21" format="6">
      <pivotArea type="data" outline="0" fieldPosition="0">
        <references count="2">
          <reference field="4294967294" count="1" selected="0">
            <x v="0"/>
          </reference>
          <reference field="14" count="1" selected="0">
            <x v="1"/>
          </reference>
        </references>
      </pivotArea>
    </chartFormat>
    <chartFormat chart="21" format="7">
      <pivotArea type="data" outline="0" fieldPosition="0">
        <references count="2">
          <reference field="4294967294" count="1" selected="0">
            <x v="0"/>
          </reference>
          <reference field="14" count="1" selected="0">
            <x v="2"/>
          </reference>
        </references>
      </pivotArea>
    </chartFormat>
    <chartFormat chart="21" format="8">
      <pivotArea type="data" outline="0" fieldPosition="0">
        <references count="2">
          <reference field="4294967294" count="1" selected="0">
            <x v="0"/>
          </reference>
          <reference field="14" count="1" selected="0">
            <x v="3"/>
          </reference>
        </references>
      </pivotArea>
    </chartFormat>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14" count="1" selected="0">
            <x v="0"/>
          </reference>
        </references>
      </pivotArea>
    </chartFormat>
    <chartFormat chart="22" format="11">
      <pivotArea type="data" outline="0" fieldPosition="0">
        <references count="2">
          <reference field="4294967294" count="1" selected="0">
            <x v="0"/>
          </reference>
          <reference field="14" count="1" selected="0">
            <x v="1"/>
          </reference>
        </references>
      </pivotArea>
    </chartFormat>
    <chartFormat chart="22" format="12">
      <pivotArea type="data" outline="0" fieldPosition="0">
        <references count="2">
          <reference field="4294967294" count="1" selected="0">
            <x v="0"/>
          </reference>
          <reference field="14" count="1" selected="0">
            <x v="2"/>
          </reference>
        </references>
      </pivotArea>
    </chartFormat>
    <chartFormat chart="22" format="13">
      <pivotArea type="data" outline="0" fieldPosition="0">
        <references count="2">
          <reference field="4294967294" count="1" selected="0">
            <x v="0"/>
          </reference>
          <reference field="14" count="1" selected="0">
            <x v="3"/>
          </reference>
        </references>
      </pivotArea>
    </chartFormat>
    <chartFormat chart="20" format="4">
      <pivotArea type="data" outline="0" fieldPosition="0">
        <references count="2">
          <reference field="4294967294" count="1" selected="0">
            <x v="0"/>
          </reference>
          <reference field="14" count="1" selected="0">
            <x v="2"/>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14" count="1" selected="0">
            <x v="0"/>
          </reference>
        </references>
      </pivotArea>
    </chartFormat>
    <chartFormat chart="28" format="12">
      <pivotArea type="data" outline="0" fieldPosition="0">
        <references count="2">
          <reference field="4294967294" count="1" selected="0">
            <x v="0"/>
          </reference>
          <reference field="14" count="1" selected="0">
            <x v="1"/>
          </reference>
        </references>
      </pivotArea>
    </chartFormat>
    <chartFormat chart="28" format="13">
      <pivotArea type="data" outline="0" fieldPosition="0">
        <references count="2">
          <reference field="4294967294" count="1" selected="0">
            <x v="0"/>
          </reference>
          <reference field="14" count="1" selected="0">
            <x v="2"/>
          </reference>
        </references>
      </pivotArea>
    </chartFormat>
    <chartFormat chart="28"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4AA797-0C51-4842-ACB1-B9D6AD4B26D3}"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6AFAE5-9FD9-4C03-B72E-9288242DB6D1}"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592FC1-6501-4FE1-BC77-43B56A2838A8}"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8"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5"/>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0">
    <chartFormat chart="0" format="0" series="1">
      <pivotArea type="data" outline="0" fieldPosition="0">
        <references count="2">
          <reference field="4294967294" count="1" selected="0">
            <x v="0"/>
          </reference>
          <reference field="17" count="1" selected="0">
            <x v="1"/>
          </reference>
        </references>
      </pivotArea>
    </chartFormat>
    <chartFormat chart="0" format="1" series="1">
      <pivotArea type="data" outline="0" fieldPosition="0">
        <references count="2">
          <reference field="4294967294" count="1" selected="0">
            <x v="0"/>
          </reference>
          <reference field="17" count="1" selected="0">
            <x v="2"/>
          </reference>
        </references>
      </pivotArea>
    </chartFormat>
    <chartFormat chart="0" format="2" series="1">
      <pivotArea type="data" outline="0" fieldPosition="0">
        <references count="2">
          <reference field="4294967294" count="1" selected="0">
            <x v="0"/>
          </reference>
          <reference field="17" count="1" selected="0">
            <x v="3"/>
          </reference>
        </references>
      </pivotArea>
    </chartFormat>
    <chartFormat chart="0" format="3" series="1">
      <pivotArea type="data" outline="0" fieldPosition="0">
        <references count="3">
          <reference field="4294967294" count="1" selected="0">
            <x v="0"/>
          </reference>
          <reference field="16" count="1" selected="0">
            <x v="4"/>
          </reference>
          <reference field="17" count="1" selected="0">
            <x v="1"/>
          </reference>
        </references>
      </pivotArea>
    </chartFormat>
    <chartFormat chart="0" format="4" series="1">
      <pivotArea type="data" outline="0" fieldPosition="0">
        <references count="3">
          <reference field="4294967294" count="1" selected="0">
            <x v="0"/>
          </reference>
          <reference field="16" count="1" selected="0">
            <x v="5"/>
          </reference>
          <reference field="17" count="1" selected="0">
            <x v="1"/>
          </reference>
        </references>
      </pivotArea>
    </chartFormat>
    <chartFormat chart="0" format="5" series="1">
      <pivotArea type="data" outline="0" fieldPosition="0">
        <references count="3">
          <reference field="4294967294" count="1" selected="0">
            <x v="0"/>
          </reference>
          <reference field="16" count="1" selected="0">
            <x v="6"/>
          </reference>
          <reference field="17" count="1" selected="0">
            <x v="1"/>
          </reference>
        </references>
      </pivotArea>
    </chartFormat>
    <chartFormat chart="0" format="6" series="1">
      <pivotArea type="data" outline="0" fieldPosition="0">
        <references count="3">
          <reference field="4294967294" count="1" selected="0">
            <x v="0"/>
          </reference>
          <reference field="16" count="1" selected="0">
            <x v="7"/>
          </reference>
          <reference field="17" count="1" selected="0">
            <x v="1"/>
          </reference>
        </references>
      </pivotArea>
    </chartFormat>
    <chartFormat chart="0" format="7" series="1">
      <pivotArea type="data" outline="0" fieldPosition="0">
        <references count="3">
          <reference field="4294967294" count="1" selected="0">
            <x v="0"/>
          </reference>
          <reference field="16" count="1" selected="0">
            <x v="8"/>
          </reference>
          <reference field="17" count="1" selected="0">
            <x v="1"/>
          </reference>
        </references>
      </pivotArea>
    </chartFormat>
    <chartFormat chart="0" format="8" series="1">
      <pivotArea type="data" outline="0" fieldPosition="0">
        <references count="3">
          <reference field="4294967294" count="1" selected="0">
            <x v="0"/>
          </reference>
          <reference field="16" count="1" selected="0">
            <x v="9"/>
          </reference>
          <reference field="17" count="1" selected="0">
            <x v="1"/>
          </reference>
        </references>
      </pivotArea>
    </chartFormat>
    <chartFormat chart="0" format="9" series="1">
      <pivotArea type="data" outline="0" fieldPosition="0">
        <references count="3">
          <reference field="4294967294" count="1" selected="0">
            <x v="0"/>
          </reference>
          <reference field="16" count="1" selected="0">
            <x v="10"/>
          </reference>
          <reference field="17" count="1" selected="0">
            <x v="1"/>
          </reference>
        </references>
      </pivotArea>
    </chartFormat>
    <chartFormat chart="0" format="10" series="1">
      <pivotArea type="data" outline="0" fieldPosition="0">
        <references count="3">
          <reference field="4294967294" count="1" selected="0">
            <x v="0"/>
          </reference>
          <reference field="16" count="1" selected="0">
            <x v="11"/>
          </reference>
          <reference field="17" count="1" selected="0">
            <x v="1"/>
          </reference>
        </references>
      </pivotArea>
    </chartFormat>
    <chartFormat chart="0" format="11" series="1">
      <pivotArea type="data" outline="0" fieldPosition="0">
        <references count="3">
          <reference field="4294967294" count="1" selected="0">
            <x v="0"/>
          </reference>
          <reference field="16" count="1" selected="0">
            <x v="12"/>
          </reference>
          <reference field="17" count="1" selected="0">
            <x v="1"/>
          </reference>
        </references>
      </pivotArea>
    </chartFormat>
    <chartFormat chart="0" format="12" series="1">
      <pivotArea type="data" outline="0" fieldPosition="0">
        <references count="3">
          <reference field="4294967294" count="1" selected="0">
            <x v="0"/>
          </reference>
          <reference field="16" count="1" selected="0">
            <x v="13"/>
          </reference>
          <reference field="17" count="1" selected="0">
            <x v="1"/>
          </reference>
        </references>
      </pivotArea>
    </chartFormat>
    <chartFormat chart="0" format="13" series="1">
      <pivotArea type="data" outline="0" fieldPosition="0">
        <references count="3">
          <reference field="4294967294" count="1" selected="0">
            <x v="0"/>
          </reference>
          <reference field="16" count="1" selected="0">
            <x v="14"/>
          </reference>
          <reference field="17" count="1" selected="0">
            <x v="1"/>
          </reference>
        </references>
      </pivotArea>
    </chartFormat>
    <chartFormat chart="0" format="14" series="1">
      <pivotArea type="data" outline="0" fieldPosition="0">
        <references count="3">
          <reference field="4294967294" count="1" selected="0">
            <x v="0"/>
          </reference>
          <reference field="16" count="1" selected="0">
            <x v="15"/>
          </reference>
          <reference field="17" count="1" selected="0">
            <x v="1"/>
          </reference>
        </references>
      </pivotArea>
    </chartFormat>
    <chartFormat chart="0" format="15" series="1">
      <pivotArea type="data" outline="0" fieldPosition="0">
        <references count="3">
          <reference field="4294967294" count="1" selected="0">
            <x v="0"/>
          </reference>
          <reference field="16" count="1" selected="0">
            <x v="16"/>
          </reference>
          <reference field="17" count="1" selected="0">
            <x v="1"/>
          </reference>
        </references>
      </pivotArea>
    </chartFormat>
    <chartFormat chart="0" format="16" series="1">
      <pivotArea type="data" outline="0" fieldPosition="0">
        <references count="3">
          <reference field="4294967294" count="1" selected="0">
            <x v="0"/>
          </reference>
          <reference field="16" count="1" selected="0">
            <x v="17"/>
          </reference>
          <reference field="17" count="1" selected="0">
            <x v="1"/>
          </reference>
        </references>
      </pivotArea>
    </chartFormat>
    <chartFormat chart="0" format="17" series="1">
      <pivotArea type="data" outline="0" fieldPosition="0">
        <references count="3">
          <reference field="4294967294" count="1" selected="0">
            <x v="0"/>
          </reference>
          <reference field="16" count="1" selected="0">
            <x v="18"/>
          </reference>
          <reference field="17" count="1" selected="0">
            <x v="1"/>
          </reference>
        </references>
      </pivotArea>
    </chartFormat>
    <chartFormat chart="0" format="18" series="1">
      <pivotArea type="data" outline="0" fieldPosition="0">
        <references count="3">
          <reference field="4294967294" count="1" selected="0">
            <x v="0"/>
          </reference>
          <reference field="16" count="1" selected="0">
            <x v="19"/>
          </reference>
          <reference field="17" count="1" selected="0">
            <x v="1"/>
          </reference>
        </references>
      </pivotArea>
    </chartFormat>
    <chartFormat chart="0" format="19" series="1">
      <pivotArea type="data" outline="0" fieldPosition="0">
        <references count="3">
          <reference field="4294967294" count="1" selected="0">
            <x v="0"/>
          </reference>
          <reference field="16" count="1" selected="0">
            <x v="20"/>
          </reference>
          <reference field="17" count="1" selected="0">
            <x v="1"/>
          </reference>
        </references>
      </pivotArea>
    </chartFormat>
    <chartFormat chart="0" format="20" series="1">
      <pivotArea type="data" outline="0" fieldPosition="0">
        <references count="3">
          <reference field="4294967294" count="1" selected="0">
            <x v="0"/>
          </reference>
          <reference field="16" count="1" selected="0">
            <x v="21"/>
          </reference>
          <reference field="17" count="1" selected="0">
            <x v="1"/>
          </reference>
        </references>
      </pivotArea>
    </chartFormat>
    <chartFormat chart="0" format="21" series="1">
      <pivotArea type="data" outline="0" fieldPosition="0">
        <references count="3">
          <reference field="4294967294" count="1" selected="0">
            <x v="0"/>
          </reference>
          <reference field="16" count="1" selected="0">
            <x v="22"/>
          </reference>
          <reference field="17" count="1" selected="0">
            <x v="1"/>
          </reference>
        </references>
      </pivotArea>
    </chartFormat>
    <chartFormat chart="0" format="22" series="1">
      <pivotArea type="data" outline="0" fieldPosition="0">
        <references count="3">
          <reference field="4294967294" count="1" selected="0">
            <x v="0"/>
          </reference>
          <reference field="16" count="1" selected="0">
            <x v="23"/>
          </reference>
          <reference field="17" count="1" selected="0">
            <x v="1"/>
          </reference>
        </references>
      </pivotArea>
    </chartFormat>
    <chartFormat chart="0" format="23" series="1">
      <pivotArea type="data" outline="0" fieldPosition="0">
        <references count="3">
          <reference field="4294967294" count="1" selected="0">
            <x v="0"/>
          </reference>
          <reference field="16" count="1" selected="0">
            <x v="24"/>
          </reference>
          <reference field="17" count="1" selected="0">
            <x v="1"/>
          </reference>
        </references>
      </pivotArea>
    </chartFormat>
    <chartFormat chart="0" format="24" series="1">
      <pivotArea type="data" outline="0" fieldPosition="0">
        <references count="3">
          <reference field="4294967294" count="1" selected="0">
            <x v="0"/>
          </reference>
          <reference field="16" count="1" selected="0">
            <x v="25"/>
          </reference>
          <reference field="17" count="1" selected="0">
            <x v="1"/>
          </reference>
        </references>
      </pivotArea>
    </chartFormat>
    <chartFormat chart="0" format="25" series="1">
      <pivotArea type="data" outline="0" fieldPosition="0">
        <references count="3">
          <reference field="4294967294" count="1" selected="0">
            <x v="0"/>
          </reference>
          <reference field="16" count="1" selected="0">
            <x v="26"/>
          </reference>
          <reference field="17" count="1" selected="0">
            <x v="1"/>
          </reference>
        </references>
      </pivotArea>
    </chartFormat>
    <chartFormat chart="0" format="26" series="1">
      <pivotArea type="data" outline="0" fieldPosition="0">
        <references count="3">
          <reference field="4294967294" count="1" selected="0">
            <x v="0"/>
          </reference>
          <reference field="16" count="1" selected="0">
            <x v="27"/>
          </reference>
          <reference field="17" count="1" selected="0">
            <x v="1"/>
          </reference>
        </references>
      </pivotArea>
    </chartFormat>
    <chartFormat chart="0" format="27" series="1">
      <pivotArea type="data" outline="0" fieldPosition="0">
        <references count="3">
          <reference field="4294967294" count="1" selected="0">
            <x v="0"/>
          </reference>
          <reference field="16" count="1" selected="0">
            <x v="28"/>
          </reference>
          <reference field="17" count="1" selected="0">
            <x v="1"/>
          </reference>
        </references>
      </pivotArea>
    </chartFormat>
    <chartFormat chart="0" format="28" series="1">
      <pivotArea type="data" outline="0" fieldPosition="0">
        <references count="3">
          <reference field="4294967294" count="1" selected="0">
            <x v="0"/>
          </reference>
          <reference field="16" count="1" selected="0">
            <x v="29"/>
          </reference>
          <reference field="17" count="1" selected="0">
            <x v="1"/>
          </reference>
        </references>
      </pivotArea>
    </chartFormat>
    <chartFormat chart="0" format="29" series="1">
      <pivotArea type="data" outline="0" fieldPosition="0">
        <references count="3">
          <reference field="4294967294" count="1" selected="0">
            <x v="0"/>
          </reference>
          <reference field="16" count="1" selected="0">
            <x v="30"/>
          </reference>
          <reference field="17" count="1" selected="0">
            <x v="1"/>
          </reference>
        </references>
      </pivotArea>
    </chartFormat>
    <chartFormat chart="0" format="30" series="1">
      <pivotArea type="data" outline="0" fieldPosition="0">
        <references count="3">
          <reference field="4294967294" count="1" selected="0">
            <x v="0"/>
          </reference>
          <reference field="16" count="1" selected="0">
            <x v="31"/>
          </reference>
          <reference field="17" count="1" selected="0">
            <x v="1"/>
          </reference>
        </references>
      </pivotArea>
    </chartFormat>
    <chartFormat chart="0" format="31" series="1">
      <pivotArea type="data" outline="0" fieldPosition="0">
        <references count="3">
          <reference field="4294967294" count="1" selected="0">
            <x v="0"/>
          </reference>
          <reference field="16" count="1" selected="0">
            <x v="62"/>
          </reference>
          <reference field="17" count="1" selected="0">
            <x v="3"/>
          </reference>
        </references>
      </pivotArea>
    </chartFormat>
    <chartFormat chart="0" format="32" series="1">
      <pivotArea type="data" outline="0" fieldPosition="0">
        <references count="3">
          <reference field="4294967294" count="1" selected="0">
            <x v="0"/>
          </reference>
          <reference field="16" count="1" selected="0">
            <x v="63"/>
          </reference>
          <reference field="17" count="1" selected="0">
            <x v="3"/>
          </reference>
        </references>
      </pivotArea>
    </chartFormat>
    <chartFormat chart="0" format="33" series="1">
      <pivotArea type="data" outline="0" fieldPosition="0">
        <references count="3">
          <reference field="4294967294" count="1" selected="0">
            <x v="0"/>
          </reference>
          <reference field="16" count="1" selected="0">
            <x v="64"/>
          </reference>
          <reference field="17" count="1" selected="0">
            <x v="3"/>
          </reference>
        </references>
      </pivotArea>
    </chartFormat>
    <chartFormat chart="0" format="34" series="1">
      <pivotArea type="data" outline="0" fieldPosition="0">
        <references count="3">
          <reference field="4294967294" count="1" selected="0">
            <x v="0"/>
          </reference>
          <reference field="16" count="1" selected="0">
            <x v="65"/>
          </reference>
          <reference field="17" count="1" selected="0">
            <x v="3"/>
          </reference>
        </references>
      </pivotArea>
    </chartFormat>
    <chartFormat chart="0" format="35" series="1">
      <pivotArea type="data" outline="0" fieldPosition="0">
        <references count="3">
          <reference field="4294967294" count="1" selected="0">
            <x v="0"/>
          </reference>
          <reference field="16" count="1" selected="0">
            <x v="66"/>
          </reference>
          <reference field="17" count="1" selected="0">
            <x v="3"/>
          </reference>
        </references>
      </pivotArea>
    </chartFormat>
    <chartFormat chart="0" format="36" series="1">
      <pivotArea type="data" outline="0" fieldPosition="0">
        <references count="3">
          <reference field="4294967294" count="1" selected="0">
            <x v="0"/>
          </reference>
          <reference field="16" count="1" selected="0">
            <x v="67"/>
          </reference>
          <reference field="17" count="1" selected="0">
            <x v="3"/>
          </reference>
        </references>
      </pivotArea>
    </chartFormat>
    <chartFormat chart="0" format="37" series="1">
      <pivotArea type="data" outline="0" fieldPosition="0">
        <references count="3">
          <reference field="4294967294" count="1" selected="0">
            <x v="0"/>
          </reference>
          <reference field="16" count="1" selected="0">
            <x v="68"/>
          </reference>
          <reference field="17" count="1" selected="0">
            <x v="3"/>
          </reference>
        </references>
      </pivotArea>
    </chartFormat>
    <chartFormat chart="0" format="38" series="1">
      <pivotArea type="data" outline="0" fieldPosition="0">
        <references count="3">
          <reference field="4294967294" count="1" selected="0">
            <x v="0"/>
          </reference>
          <reference field="16" count="1" selected="0">
            <x v="69"/>
          </reference>
          <reference field="17" count="1" selected="0">
            <x v="3"/>
          </reference>
        </references>
      </pivotArea>
    </chartFormat>
    <chartFormat chart="0" format="39" series="1">
      <pivotArea type="data" outline="0" fieldPosition="0">
        <references count="3">
          <reference field="4294967294" count="1" selected="0">
            <x v="0"/>
          </reference>
          <reference field="16" count="1" selected="0">
            <x v="70"/>
          </reference>
          <reference field="17" count="1" selected="0">
            <x v="3"/>
          </reference>
        </references>
      </pivotArea>
    </chartFormat>
    <chartFormat chart="0" format="40" series="1">
      <pivotArea type="data" outline="0" fieldPosition="0">
        <references count="3">
          <reference field="4294967294" count="1" selected="0">
            <x v="0"/>
          </reference>
          <reference field="16" count="1" selected="0">
            <x v="71"/>
          </reference>
          <reference field="17" count="1" selected="0">
            <x v="3"/>
          </reference>
        </references>
      </pivotArea>
    </chartFormat>
    <chartFormat chart="0" format="41" series="1">
      <pivotArea type="data" outline="0" fieldPosition="0">
        <references count="3">
          <reference field="4294967294" count="1" selected="0">
            <x v="0"/>
          </reference>
          <reference field="16" count="1" selected="0">
            <x v="72"/>
          </reference>
          <reference field="17" count="1" selected="0">
            <x v="3"/>
          </reference>
        </references>
      </pivotArea>
    </chartFormat>
    <chartFormat chart="0" format="42" series="1">
      <pivotArea type="data" outline="0" fieldPosition="0">
        <references count="3">
          <reference field="4294967294" count="1" selected="0">
            <x v="0"/>
          </reference>
          <reference field="16" count="1" selected="0">
            <x v="73"/>
          </reference>
          <reference field="17" count="1" selected="0">
            <x v="3"/>
          </reference>
        </references>
      </pivotArea>
    </chartFormat>
    <chartFormat chart="0" format="43" series="1">
      <pivotArea type="data" outline="0" fieldPosition="0">
        <references count="3">
          <reference field="4294967294" count="1" selected="0">
            <x v="0"/>
          </reference>
          <reference field="16" count="1" selected="0">
            <x v="74"/>
          </reference>
          <reference field="17" count="1" selected="0">
            <x v="3"/>
          </reference>
        </references>
      </pivotArea>
    </chartFormat>
    <chartFormat chart="0" format="44" series="1">
      <pivotArea type="data" outline="0" fieldPosition="0">
        <references count="3">
          <reference field="4294967294" count="1" selected="0">
            <x v="0"/>
          </reference>
          <reference field="16" count="1" selected="0">
            <x v="75"/>
          </reference>
          <reference field="17" count="1" selected="0">
            <x v="3"/>
          </reference>
        </references>
      </pivotArea>
    </chartFormat>
    <chartFormat chart="0" format="45" series="1">
      <pivotArea type="data" outline="0" fieldPosition="0">
        <references count="3">
          <reference field="4294967294" count="1" selected="0">
            <x v="0"/>
          </reference>
          <reference field="16" count="1" selected="0">
            <x v="76"/>
          </reference>
          <reference field="17" count="1" selected="0">
            <x v="3"/>
          </reference>
        </references>
      </pivotArea>
    </chartFormat>
    <chartFormat chart="0" format="46" series="1">
      <pivotArea type="data" outline="0" fieldPosition="0">
        <references count="3">
          <reference field="4294967294" count="1" selected="0">
            <x v="0"/>
          </reference>
          <reference field="16" count="1" selected="0">
            <x v="77"/>
          </reference>
          <reference field="17" count="1" selected="0">
            <x v="3"/>
          </reference>
        </references>
      </pivotArea>
    </chartFormat>
    <chartFormat chart="0" format="47" series="1">
      <pivotArea type="data" outline="0" fieldPosition="0">
        <references count="3">
          <reference field="4294967294" count="1" selected="0">
            <x v="0"/>
          </reference>
          <reference field="16" count="1" selected="0">
            <x v="78"/>
          </reference>
          <reference field="17" count="1" selected="0">
            <x v="3"/>
          </reference>
        </references>
      </pivotArea>
    </chartFormat>
    <chartFormat chart="0" format="48" series="1">
      <pivotArea type="data" outline="0" fieldPosition="0">
        <references count="3">
          <reference field="4294967294" count="1" selected="0">
            <x v="0"/>
          </reference>
          <reference field="16" count="1" selected="0">
            <x v="79"/>
          </reference>
          <reference field="17" count="1" selected="0">
            <x v="3"/>
          </reference>
        </references>
      </pivotArea>
    </chartFormat>
    <chartFormat chart="0" format="49" series="1">
      <pivotArea type="data" outline="0" fieldPosition="0">
        <references count="3">
          <reference field="4294967294" count="1" selected="0">
            <x v="0"/>
          </reference>
          <reference field="16" count="1" selected="0">
            <x v="80"/>
          </reference>
          <reference field="17" count="1" selected="0">
            <x v="3"/>
          </reference>
        </references>
      </pivotArea>
    </chartFormat>
    <chartFormat chart="0" format="50" series="1">
      <pivotArea type="data" outline="0" fieldPosition="0">
        <references count="3">
          <reference field="4294967294" count="1" selected="0">
            <x v="0"/>
          </reference>
          <reference field="16" count="1" selected="0">
            <x v="81"/>
          </reference>
          <reference field="17" count="1" selected="0">
            <x v="3"/>
          </reference>
        </references>
      </pivotArea>
    </chartFormat>
    <chartFormat chart="0" format="51" series="1">
      <pivotArea type="data" outline="0" fieldPosition="0">
        <references count="3">
          <reference field="4294967294" count="1" selected="0">
            <x v="0"/>
          </reference>
          <reference field="16" count="1" selected="0">
            <x v="82"/>
          </reference>
          <reference field="17" count="1" selected="0">
            <x v="3"/>
          </reference>
        </references>
      </pivotArea>
    </chartFormat>
    <chartFormat chart="0" format="52" series="1">
      <pivotArea type="data" outline="0" fieldPosition="0">
        <references count="3">
          <reference field="4294967294" count="1" selected="0">
            <x v="0"/>
          </reference>
          <reference field="16" count="1" selected="0">
            <x v="83"/>
          </reference>
          <reference field="17" count="1" selected="0">
            <x v="3"/>
          </reference>
        </references>
      </pivotArea>
    </chartFormat>
    <chartFormat chart="0" format="53" series="1">
      <pivotArea type="data" outline="0" fieldPosition="0">
        <references count="3">
          <reference field="4294967294" count="1" selected="0">
            <x v="0"/>
          </reference>
          <reference field="16" count="1" selected="0">
            <x v="84"/>
          </reference>
          <reference field="17" count="1" selected="0">
            <x v="3"/>
          </reference>
        </references>
      </pivotArea>
    </chartFormat>
    <chartFormat chart="0" format="54" series="1">
      <pivotArea type="data" outline="0" fieldPosition="0">
        <references count="3">
          <reference field="4294967294" count="1" selected="0">
            <x v="0"/>
          </reference>
          <reference field="16" count="1" selected="0">
            <x v="85"/>
          </reference>
          <reference field="17" count="1" selected="0">
            <x v="3"/>
          </reference>
        </references>
      </pivotArea>
    </chartFormat>
    <chartFormat chart="0" format="55" series="1">
      <pivotArea type="data" outline="0" fieldPosition="0">
        <references count="3">
          <reference field="4294967294" count="1" selected="0">
            <x v="0"/>
          </reference>
          <reference field="16" count="1" selected="0">
            <x v="86"/>
          </reference>
          <reference field="17" count="1" selected="0">
            <x v="3"/>
          </reference>
        </references>
      </pivotArea>
    </chartFormat>
    <chartFormat chart="0" format="56" series="1">
      <pivotArea type="data" outline="0" fieldPosition="0">
        <references count="3">
          <reference field="4294967294" count="1" selected="0">
            <x v="0"/>
          </reference>
          <reference field="16" count="1" selected="0">
            <x v="87"/>
          </reference>
          <reference field="17" count="1" selected="0">
            <x v="3"/>
          </reference>
        </references>
      </pivotArea>
    </chartFormat>
    <chartFormat chart="0" format="57" series="1">
      <pivotArea type="data" outline="0" fieldPosition="0">
        <references count="3">
          <reference field="4294967294" count="1" selected="0">
            <x v="0"/>
          </reference>
          <reference field="16" count="1" selected="0">
            <x v="88"/>
          </reference>
          <reference field="17" count="1" selected="0">
            <x v="3"/>
          </reference>
        </references>
      </pivotArea>
    </chartFormat>
    <chartFormat chart="0" format="58" series="1">
      <pivotArea type="data" outline="0" fieldPosition="0">
        <references count="3">
          <reference field="4294967294" count="1" selected="0">
            <x v="0"/>
          </reference>
          <reference field="16" count="1" selected="0">
            <x v="89"/>
          </reference>
          <reference field="17" count="1" selected="0">
            <x v="3"/>
          </reference>
        </references>
      </pivotArea>
    </chartFormat>
    <chartFormat chart="0" format="59" series="1">
      <pivotArea type="data" outline="0" fieldPosition="0">
        <references count="1">
          <reference field="4294967294" count="1" selected="0">
            <x v="0"/>
          </reference>
        </references>
      </pivotArea>
    </chartFormat>
    <chartFormat chart="0" format="60" series="1">
      <pivotArea type="data" outline="0" fieldPosition="0">
        <references count="2">
          <reference field="4294967294" count="1" selected="0">
            <x v="0"/>
          </reference>
          <reference field="9" count="1" selected="0">
            <x v="1"/>
          </reference>
        </references>
      </pivotArea>
    </chartFormat>
    <chartFormat chart="0" format="61" series="1">
      <pivotArea type="data" outline="0" fieldPosition="0">
        <references count="2">
          <reference field="4294967294" count="1" selected="0">
            <x v="0"/>
          </reference>
          <reference field="9" count="1" selected="0">
            <x v="2"/>
          </reference>
        </references>
      </pivotArea>
    </chartFormat>
    <chartFormat chart="0" format="62" series="1">
      <pivotArea type="data" outline="0" fieldPosition="0">
        <references count="2">
          <reference field="4294967294" count="1" selected="0">
            <x v="0"/>
          </reference>
          <reference field="9" count="1" selected="0">
            <x v="3"/>
          </reference>
        </references>
      </pivotArea>
    </chartFormat>
    <chartFormat chart="0" format="63" series="1">
      <pivotArea type="data" outline="0" fieldPosition="0">
        <references count="2">
          <reference field="4294967294" count="1" selected="0">
            <x v="0"/>
          </reference>
          <reference field="9" count="1" selected="0">
            <x v="4"/>
          </reference>
        </references>
      </pivotArea>
    </chartFormat>
    <chartFormat chart="0" format="64" series="1">
      <pivotArea type="data" outline="0" fieldPosition="0">
        <references count="2">
          <reference field="4294967294" count="1" selected="0">
            <x v="0"/>
          </reference>
          <reference field="9" count="1" selected="0">
            <x v="0"/>
          </reference>
        </references>
      </pivotArea>
    </chartFormat>
    <chartFormat chart="2" format="70" series="1">
      <pivotArea type="data" outline="0" fieldPosition="0">
        <references count="2">
          <reference field="4294967294" count="1" selected="0">
            <x v="0"/>
          </reference>
          <reference field="9" count="1" selected="0">
            <x v="0"/>
          </reference>
        </references>
      </pivotArea>
    </chartFormat>
    <chartFormat chart="2" format="71" series="1">
      <pivotArea type="data" outline="0" fieldPosition="0">
        <references count="2">
          <reference field="4294967294" count="1" selected="0">
            <x v="0"/>
          </reference>
          <reference field="9" count="1" selected="0">
            <x v="1"/>
          </reference>
        </references>
      </pivotArea>
    </chartFormat>
    <chartFormat chart="2" format="72" series="1">
      <pivotArea type="data" outline="0" fieldPosition="0">
        <references count="2">
          <reference field="4294967294" count="1" selected="0">
            <x v="0"/>
          </reference>
          <reference field="9" count="1" selected="0">
            <x v="2"/>
          </reference>
        </references>
      </pivotArea>
    </chartFormat>
    <chartFormat chart="2" format="73" series="1">
      <pivotArea type="data" outline="0" fieldPosition="0">
        <references count="2">
          <reference field="4294967294" count="1" selected="0">
            <x v="0"/>
          </reference>
          <reference field="9" count="1" selected="0">
            <x v="3"/>
          </reference>
        </references>
      </pivotArea>
    </chartFormat>
    <chartFormat chart="2" format="7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684729-B4D9-4092-8E94-2246A38775D5}"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C21" firstHeaderRow="0"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3"/>
        <item x="4"/>
        <item x="5"/>
        <item x="6"/>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13"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8D29E8-7A99-44A6-BA4D-0C717B9EE899}"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4" firstHeaderRow="0" firstDataRow="1" firstDataCol="0"/>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defaultSubtotal="0">
      <items count="7">
        <item x="0"/>
        <item x="1"/>
        <item x="2"/>
        <item x="3"/>
        <item x="4"/>
        <item x="5"/>
        <item x="6"/>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Sum of Days to Delive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91F0FA6A-28DD-4570-87E7-57C6E69B98E4}" sourceName="Order Mode">
  <pivotTables>
    <pivotTable tabId="20" name="pvtsummary"/>
    <pivotTable tabId="20" name="pvttrend"/>
    <pivotTable tabId="13" name="pvtrating"/>
    <pivotTable tabId="12" name="pvtduration"/>
    <pivotTable tabId="8" name="PivotTable2"/>
    <pivotTable tabId="6" name="PivotTable2"/>
    <pivotTable tabId="6" name="pvtqty"/>
    <pivotTable tabId="9" name="pvtgender"/>
    <pivotTable tabId="9" name="pvtproduct"/>
    <pivotTable tabId="11" name="pvtmap"/>
  </pivotTables>
  <data>
    <tabular pivotCacheId="85557362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59EFCDE-543D-411A-B639-B832493D09A3}" sourceName="Gender Value">
  <pivotTables>
    <pivotTable tabId="13" name="pvtrating"/>
    <pivotTable tabId="6" name="pvtqty"/>
    <pivotTable tabId="11" name="pvtmap"/>
    <pivotTable tabId="20" name="pvttrend"/>
  </pivotTables>
  <data>
    <tabular pivotCacheId="85557362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95E2D1BE-1A74-415E-B5B6-E2118D08BEFE}" cache="Slicer_Order_Mode" caption="Order Mode" rowHeight="247650"/>
  <slicer name="Gender Value 1" xr10:uid="{3A1361D3-F742-495E-8105-AEB86B03CCA4}"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153D64"/>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D8AB5-7E7D-44A7-BA29-C9875CD2E40D}">
  <dimension ref="A2:K17"/>
  <sheetViews>
    <sheetView zoomScale="21" zoomScaleNormal="78" workbookViewId="0">
      <selection activeCell="A9" sqref="A9"/>
    </sheetView>
  </sheetViews>
  <sheetFormatPr defaultRowHeight="14.4" x14ac:dyDescent="0.3"/>
  <cols>
    <col min="1" max="1" width="12.88671875" bestFit="1" customWidth="1"/>
    <col min="2" max="2" width="12.5546875" bestFit="1" customWidth="1"/>
    <col min="3" max="3" width="13.5546875" bestFit="1" customWidth="1"/>
    <col min="4" max="4" width="16.88671875" bestFit="1" customWidth="1"/>
    <col min="5" max="5" width="22.77734375" bestFit="1" customWidth="1"/>
  </cols>
  <sheetData>
    <row r="2" spans="1:11" x14ac:dyDescent="0.3">
      <c r="G2" t="s">
        <v>2523</v>
      </c>
    </row>
    <row r="3" spans="1:11" x14ac:dyDescent="0.3">
      <c r="A3" t="s">
        <v>2518</v>
      </c>
      <c r="B3" t="s">
        <v>2519</v>
      </c>
      <c r="C3" t="s">
        <v>2520</v>
      </c>
      <c r="D3" t="s">
        <v>2521</v>
      </c>
      <c r="E3" t="s">
        <v>2522</v>
      </c>
      <c r="G3" t="s">
        <v>2524</v>
      </c>
      <c r="H3" t="s">
        <v>2525</v>
      </c>
      <c r="I3" t="s">
        <v>4</v>
      </c>
      <c r="J3" t="s">
        <v>2526</v>
      </c>
      <c r="K3" t="s">
        <v>2527</v>
      </c>
    </row>
    <row r="4" spans="1:11" x14ac:dyDescent="0.3">
      <c r="A4">
        <v>2400</v>
      </c>
      <c r="B4">
        <v>11997</v>
      </c>
      <c r="C4">
        <v>649019.80000000144</v>
      </c>
      <c r="D4">
        <v>3.9620833333333332</v>
      </c>
      <c r="E4">
        <v>2.3424999999999998</v>
      </c>
      <c r="G4" t="str">
        <f>TEXT(A4,"#,##")</f>
        <v>2,400</v>
      </c>
      <c r="H4" t="str">
        <f>TEXT(B4,"#,##")</f>
        <v>11,997</v>
      </c>
      <c r="I4" t="str">
        <f>TEXT(C4,"$#,##,.OK")</f>
        <v>$649.OK</v>
      </c>
      <c r="J4" t="str">
        <f>TEXT(D4,"0.0")</f>
        <v>4.0</v>
      </c>
      <c r="K4" t="str">
        <f>TEXT(E4,"#,##")</f>
        <v>2</v>
      </c>
    </row>
    <row r="7" spans="1:11" x14ac:dyDescent="0.3">
      <c r="A7" t="s">
        <v>2544</v>
      </c>
    </row>
    <row r="9" spans="1:11" x14ac:dyDescent="0.3">
      <c r="A9" s="5" t="s">
        <v>2528</v>
      </c>
      <c r="B9" t="s">
        <v>2518</v>
      </c>
    </row>
    <row r="10" spans="1:11" x14ac:dyDescent="0.3">
      <c r="A10" s="6">
        <v>1</v>
      </c>
      <c r="B10">
        <v>397</v>
      </c>
    </row>
    <row r="11" spans="1:11" x14ac:dyDescent="0.3">
      <c r="A11" s="6">
        <v>2</v>
      </c>
      <c r="B11">
        <v>540</v>
      </c>
    </row>
    <row r="12" spans="1:11" x14ac:dyDescent="0.3">
      <c r="A12" s="6">
        <v>3</v>
      </c>
      <c r="B12">
        <v>375</v>
      </c>
    </row>
    <row r="13" spans="1:11" x14ac:dyDescent="0.3">
      <c r="A13" s="6">
        <v>4</v>
      </c>
      <c r="B13">
        <v>246</v>
      </c>
    </row>
    <row r="14" spans="1:11" x14ac:dyDescent="0.3">
      <c r="A14" s="6">
        <v>5</v>
      </c>
      <c r="B14">
        <v>195</v>
      </c>
    </row>
    <row r="15" spans="1:11" x14ac:dyDescent="0.3">
      <c r="A15" s="6" t="s">
        <v>2536</v>
      </c>
      <c r="B15">
        <v>414</v>
      </c>
    </row>
    <row r="16" spans="1:11" x14ac:dyDescent="0.3">
      <c r="A16" s="6" t="s">
        <v>2537</v>
      </c>
      <c r="B16">
        <v>233</v>
      </c>
    </row>
    <row r="17" spans="1:2" x14ac:dyDescent="0.3">
      <c r="A17" s="6" t="s">
        <v>2529</v>
      </c>
      <c r="B17">
        <v>2400</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96C03-ECD8-4C36-973E-BB9DDB0B75EB}">
  <dimension ref="A1:O85"/>
  <sheetViews>
    <sheetView topLeftCell="H1" zoomScale="40" workbookViewId="0">
      <selection activeCell="E69" sqref="E69"/>
    </sheetView>
  </sheetViews>
  <sheetFormatPr defaultRowHeight="14.4" x14ac:dyDescent="0.3"/>
  <sheetData>
    <row r="1" spans="1:11" x14ac:dyDescent="0.3">
      <c r="K1" t="e" vm="1">
        <v>#VALUE!</v>
      </c>
    </row>
    <row r="4" spans="1:11" x14ac:dyDescent="0.3">
      <c r="A4" t="e" vm="2">
        <v>#VALUE!</v>
      </c>
    </row>
    <row r="85" spans="15:15" x14ac:dyDescent="0.3">
      <c r="O85" t="e" vm="3">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9C227-D9F9-4ACD-A928-CB6B6D24174F}">
  <dimension ref="A2:M11"/>
  <sheetViews>
    <sheetView workbookViewId="0">
      <selection activeCell="I4" sqref="I4"/>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s>
  <sheetData>
    <row r="2" spans="1:13" x14ac:dyDescent="0.3">
      <c r="H2" t="s">
        <v>2535</v>
      </c>
    </row>
    <row r="3" spans="1:13" ht="15" thickBot="1" x14ac:dyDescent="0.35">
      <c r="A3" s="5" t="s">
        <v>2520</v>
      </c>
      <c r="B3" s="5" t="s">
        <v>2534</v>
      </c>
    </row>
    <row r="4" spans="1:13" ht="15" thickBot="1" x14ac:dyDescent="0.35">
      <c r="A4" s="5" t="s">
        <v>2528</v>
      </c>
      <c r="B4" t="s">
        <v>2530</v>
      </c>
      <c r="C4" t="s">
        <v>2531</v>
      </c>
      <c r="D4" t="s">
        <v>2532</v>
      </c>
      <c r="E4" t="s">
        <v>2533</v>
      </c>
      <c r="F4" t="s">
        <v>2529</v>
      </c>
      <c r="H4" s="13"/>
      <c r="I4" s="13" t="str">
        <f t="shared" ref="I4:I9" si="0">B4</f>
        <v>Female</v>
      </c>
      <c r="J4" s="13" t="str">
        <f t="shared" ref="J4:L5" si="1">C4</f>
        <v>Male</v>
      </c>
      <c r="K4" s="13" t="str">
        <f t="shared" si="1"/>
        <v>Other</v>
      </c>
      <c r="L4" s="13" t="str">
        <f t="shared" si="1"/>
        <v>Unknown</v>
      </c>
      <c r="M4" s="11"/>
    </row>
    <row r="5" spans="1:13" ht="15" thickBot="1" x14ac:dyDescent="0.35">
      <c r="A5" s="6" t="s">
        <v>18</v>
      </c>
      <c r="B5" s="8">
        <v>0.18961825201634841</v>
      </c>
      <c r="C5" s="8">
        <v>0.12262322351336576</v>
      </c>
      <c r="D5" s="8">
        <v>1.060537752469185E-2</v>
      </c>
      <c r="E5" s="8">
        <v>3.0599220547662797E-2</v>
      </c>
      <c r="F5" s="8">
        <v>0.35344607360206881</v>
      </c>
      <c r="H5" s="14" t="str">
        <f>A5</f>
        <v>App</v>
      </c>
      <c r="I5" s="14">
        <f t="shared" si="0"/>
        <v>0.18961825201634841</v>
      </c>
      <c r="J5" s="14">
        <f t="shared" si="1"/>
        <v>0.12262322351336576</v>
      </c>
      <c r="K5" s="14">
        <f t="shared" si="1"/>
        <v>1.060537752469185E-2</v>
      </c>
      <c r="L5" s="14">
        <f t="shared" si="1"/>
        <v>3.0599220547662797E-2</v>
      </c>
      <c r="M5" s="11"/>
    </row>
    <row r="6" spans="1:13" ht="15" thickBot="1" x14ac:dyDescent="0.35">
      <c r="A6" s="6" t="s">
        <v>51</v>
      </c>
      <c r="B6" s="8">
        <v>5.0283982091147303E-2</v>
      </c>
      <c r="C6" s="8">
        <v>4.3060781812819873E-2</v>
      </c>
      <c r="D6" s="8">
        <v>1.5320025675641944E-3</v>
      </c>
      <c r="E6" s="8">
        <v>1.7794988689097006E-2</v>
      </c>
      <c r="F6" s="8">
        <v>0.11267175516062837</v>
      </c>
      <c r="H6" s="14" t="str">
        <f>A6</f>
        <v>Instagram</v>
      </c>
      <c r="I6" s="14">
        <f t="shared" si="0"/>
        <v>5.0283982091147303E-2</v>
      </c>
      <c r="J6" s="14">
        <f t="shared" ref="J6:L9" si="2">C6</f>
        <v>4.3060781812819873E-2</v>
      </c>
      <c r="K6" s="14">
        <f t="shared" si="2"/>
        <v>1.5320025675641944E-3</v>
      </c>
      <c r="L6" s="14">
        <f t="shared" si="2"/>
        <v>1.7794988689097006E-2</v>
      </c>
      <c r="M6" s="11"/>
    </row>
    <row r="7" spans="1:13" ht="15" thickBot="1" x14ac:dyDescent="0.35">
      <c r="A7" s="6" t="s">
        <v>70</v>
      </c>
      <c r="B7" s="8">
        <v>6.3496059750411282E-2</v>
      </c>
      <c r="C7" s="8">
        <v>4.6071629863988765E-2</v>
      </c>
      <c r="D7" s="8">
        <v>2.306247051322625E-3</v>
      </c>
      <c r="E7" s="8">
        <v>3.8927934093844286E-3</v>
      </c>
      <c r="F7" s="8">
        <v>0.11576673007510711</v>
      </c>
      <c r="H7" s="14" t="str">
        <f>A7</f>
        <v>Partner App</v>
      </c>
      <c r="I7" s="14">
        <f t="shared" si="0"/>
        <v>6.3496059750411282E-2</v>
      </c>
      <c r="J7" s="14">
        <f t="shared" si="2"/>
        <v>4.6071629863988765E-2</v>
      </c>
      <c r="K7" s="14">
        <f t="shared" si="2"/>
        <v>2.306247051322625E-3</v>
      </c>
      <c r="L7" s="14">
        <f t="shared" si="2"/>
        <v>3.8927934093844286E-3</v>
      </c>
      <c r="M7" s="11"/>
    </row>
    <row r="8" spans="1:13" ht="15" thickBot="1" x14ac:dyDescent="0.35">
      <c r="A8" s="6" t="s">
        <v>40</v>
      </c>
      <c r="B8" s="8">
        <v>9.6337892927149532E-2</v>
      </c>
      <c r="C8" s="8">
        <v>6.7920115842382611E-2</v>
      </c>
      <c r="D8" s="8">
        <v>5.4979832664581261E-3</v>
      </c>
      <c r="E8" s="8">
        <v>1.2933041488102518E-2</v>
      </c>
      <c r="F8" s="8">
        <v>0.1826890335240928</v>
      </c>
      <c r="H8" s="14" t="str">
        <f>A8</f>
        <v>Target.com</v>
      </c>
      <c r="I8" s="14">
        <f t="shared" si="0"/>
        <v>9.6337892927149532E-2</v>
      </c>
      <c r="J8" s="14">
        <f t="shared" si="2"/>
        <v>6.7920115842382611E-2</v>
      </c>
      <c r="K8" s="14">
        <f t="shared" si="2"/>
        <v>5.4979832664581261E-3</v>
      </c>
      <c r="L8" s="14">
        <f t="shared" si="2"/>
        <v>1.2933041488102518E-2</v>
      </c>
      <c r="M8" s="11"/>
    </row>
    <row r="9" spans="1:13" ht="15" thickBot="1" x14ac:dyDescent="0.35">
      <c r="A9" s="6" t="s">
        <v>35</v>
      </c>
      <c r="B9" s="8">
        <v>0.12522098709469262</v>
      </c>
      <c r="C9" s="8">
        <v>9.1492740283116228E-2</v>
      </c>
      <c r="D9" s="8">
        <v>6.3042760790965081E-3</v>
      </c>
      <c r="E9" s="8">
        <v>1.2408404181197551E-2</v>
      </c>
      <c r="F9" s="8">
        <v>0.23542640763810288</v>
      </c>
      <c r="H9" s="14" t="str">
        <f>A9</f>
        <v>Website</v>
      </c>
      <c r="I9" s="14">
        <f t="shared" si="0"/>
        <v>0.12522098709469262</v>
      </c>
      <c r="J9" s="14">
        <f t="shared" si="2"/>
        <v>9.1492740283116228E-2</v>
      </c>
      <c r="K9" s="14">
        <f t="shared" si="2"/>
        <v>6.3042760790965081E-3</v>
      </c>
      <c r="L9" s="14">
        <f t="shared" si="2"/>
        <v>1.2408404181197551E-2</v>
      </c>
      <c r="M9" s="11"/>
    </row>
    <row r="10" spans="1:13" ht="15" thickBot="1" x14ac:dyDescent="0.35">
      <c r="A10" s="6" t="s">
        <v>2529</v>
      </c>
      <c r="B10" s="8">
        <v>0.52495717387974916</v>
      </c>
      <c r="C10" s="8">
        <v>0.3711684913156732</v>
      </c>
      <c r="D10" s="8">
        <v>2.6245886489133303E-2</v>
      </c>
      <c r="E10" s="8">
        <v>7.7628448315444312E-2</v>
      </c>
      <c r="F10" s="8">
        <v>1</v>
      </c>
      <c r="H10" s="12"/>
      <c r="I10" s="12"/>
      <c r="J10" s="12"/>
      <c r="K10" s="12"/>
      <c r="L10" s="12"/>
      <c r="M10" s="9"/>
    </row>
    <row r="11" spans="1:13" ht="15" thickBot="1" x14ac:dyDescent="0.35">
      <c r="H11" s="9"/>
      <c r="I11" s="9"/>
      <c r="J11" s="10"/>
      <c r="K11" s="9"/>
      <c r="L11" s="9"/>
      <c r="M11" s="9"/>
    </row>
  </sheetData>
  <conditionalFormatting sqref="I5:L9">
    <cfRule type="colorScale" priority="1">
      <colorScale>
        <cfvo type="min"/>
        <cfvo type="percentile" val="50"/>
        <cfvo type="max"/>
        <color rgb="FFF8696B"/>
        <color rgb="FFFCFCFF"/>
        <color rgb="FF5A8AC6"/>
      </colorScale>
    </cfRule>
    <cfRule type="colorScale" priority="2">
      <colorScale>
        <cfvo type="min"/>
        <cfvo type="max"/>
        <color rgb="FFF8696B"/>
        <color rgb="FFFCFCFF"/>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975C7-2F91-4211-B7BD-0996565ADCF1}">
  <dimension ref="A3:J25"/>
  <sheetViews>
    <sheetView zoomScale="65" zoomScaleNormal="100" workbookViewId="0">
      <selection activeCell="N7" sqref="N7"/>
    </sheetView>
  </sheetViews>
  <sheetFormatPr defaultRowHeight="14.4" x14ac:dyDescent="0.3"/>
  <cols>
    <col min="1" max="1" width="19.88671875" bestFit="1" customWidth="1"/>
    <col min="2" max="2" width="17.33203125" bestFit="1" customWidth="1"/>
    <col min="3" max="3" width="5.21875" bestFit="1" customWidth="1"/>
    <col min="4" max="4" width="5.88671875" bestFit="1" customWidth="1"/>
    <col min="5" max="5" width="8.77734375" bestFit="1" customWidth="1"/>
    <col min="6" max="6" width="10.6640625" bestFit="1" customWidth="1"/>
    <col min="9" max="9" width="14.109375" bestFit="1" customWidth="1"/>
    <col min="10" max="10" width="14.6640625" bestFit="1" customWidth="1"/>
    <col min="11" max="11" width="5" bestFit="1" customWidth="1"/>
    <col min="12" max="12" width="5.6640625" bestFit="1" customWidth="1"/>
    <col min="13" max="13" width="8.5546875" bestFit="1" customWidth="1"/>
    <col min="14" max="14" width="10.5546875" bestFit="1" customWidth="1"/>
  </cols>
  <sheetData>
    <row r="3" spans="1:10" x14ac:dyDescent="0.3">
      <c r="A3" s="5" t="s">
        <v>2519</v>
      </c>
      <c r="B3" s="5" t="s">
        <v>2534</v>
      </c>
      <c r="I3" s="5" t="s">
        <v>2528</v>
      </c>
      <c r="J3" t="s">
        <v>2519</v>
      </c>
    </row>
    <row r="4" spans="1:10" x14ac:dyDescent="0.3">
      <c r="A4" s="5" t="s">
        <v>2528</v>
      </c>
      <c r="B4" t="s">
        <v>2530</v>
      </c>
      <c r="C4" t="s">
        <v>2531</v>
      </c>
      <c r="D4" t="s">
        <v>2532</v>
      </c>
      <c r="E4" t="s">
        <v>2533</v>
      </c>
      <c r="F4" t="s">
        <v>2529</v>
      </c>
      <c r="I4" s="6" t="s">
        <v>2530</v>
      </c>
      <c r="J4">
        <v>6272</v>
      </c>
    </row>
    <row r="5" spans="1:10" x14ac:dyDescent="0.3">
      <c r="A5" s="6" t="s">
        <v>44</v>
      </c>
      <c r="B5">
        <v>744</v>
      </c>
      <c r="C5">
        <v>713</v>
      </c>
      <c r="D5">
        <v>90</v>
      </c>
      <c r="E5">
        <v>98</v>
      </c>
      <c r="F5">
        <v>1645</v>
      </c>
      <c r="I5" s="6" t="s">
        <v>2531</v>
      </c>
      <c r="J5">
        <v>4672</v>
      </c>
    </row>
    <row r="6" spans="1:10" x14ac:dyDescent="0.3">
      <c r="A6" s="6" t="s">
        <v>39</v>
      </c>
      <c r="B6">
        <v>716</v>
      </c>
      <c r="C6">
        <v>598</v>
      </c>
      <c r="D6">
        <v>18</v>
      </c>
      <c r="E6">
        <v>214</v>
      </c>
      <c r="F6">
        <v>1546</v>
      </c>
      <c r="I6" s="6" t="s">
        <v>2532</v>
      </c>
      <c r="J6">
        <v>317</v>
      </c>
    </row>
    <row r="7" spans="1:10" x14ac:dyDescent="0.3">
      <c r="A7" s="6" t="s">
        <v>26</v>
      </c>
      <c r="B7">
        <v>627</v>
      </c>
      <c r="C7">
        <v>393</v>
      </c>
      <c r="D7">
        <v>29</v>
      </c>
      <c r="E7">
        <v>137</v>
      </c>
      <c r="F7">
        <v>1186</v>
      </c>
      <c r="I7" s="6" t="s">
        <v>2533</v>
      </c>
      <c r="J7">
        <v>736</v>
      </c>
    </row>
    <row r="8" spans="1:10" x14ac:dyDescent="0.3">
      <c r="A8" s="6" t="s">
        <v>22</v>
      </c>
      <c r="B8">
        <v>568</v>
      </c>
      <c r="C8">
        <v>306</v>
      </c>
      <c r="D8">
        <v>22</v>
      </c>
      <c r="E8">
        <v>16</v>
      </c>
      <c r="F8">
        <v>912</v>
      </c>
      <c r="I8" s="6" t="s">
        <v>2529</v>
      </c>
      <c r="J8">
        <v>11997</v>
      </c>
    </row>
    <row r="9" spans="1:10" x14ac:dyDescent="0.3">
      <c r="A9" s="6" t="s">
        <v>54</v>
      </c>
      <c r="B9">
        <v>482</v>
      </c>
      <c r="C9">
        <v>295</v>
      </c>
      <c r="D9">
        <v>8</v>
      </c>
      <c r="E9">
        <v>22</v>
      </c>
      <c r="F9">
        <v>807</v>
      </c>
    </row>
    <row r="10" spans="1:10" x14ac:dyDescent="0.3">
      <c r="A10" s="6" t="s">
        <v>16</v>
      </c>
      <c r="B10">
        <v>428</v>
      </c>
      <c r="C10">
        <v>293</v>
      </c>
      <c r="E10">
        <v>24</v>
      </c>
      <c r="F10">
        <v>745</v>
      </c>
    </row>
    <row r="11" spans="1:10" x14ac:dyDescent="0.3">
      <c r="A11" s="6" t="s">
        <v>46</v>
      </c>
      <c r="B11">
        <v>445</v>
      </c>
      <c r="C11">
        <v>202</v>
      </c>
      <c r="D11">
        <v>14</v>
      </c>
      <c r="E11">
        <v>39</v>
      </c>
      <c r="F11">
        <v>700</v>
      </c>
    </row>
    <row r="12" spans="1:10" x14ac:dyDescent="0.3">
      <c r="A12" s="6" t="s">
        <v>32</v>
      </c>
      <c r="B12">
        <v>431</v>
      </c>
      <c r="C12">
        <v>187</v>
      </c>
      <c r="D12">
        <v>14</v>
      </c>
      <c r="E12">
        <v>15</v>
      </c>
      <c r="F12">
        <v>647</v>
      </c>
    </row>
    <row r="13" spans="1:10" x14ac:dyDescent="0.3">
      <c r="A13" s="6" t="s">
        <v>42</v>
      </c>
      <c r="B13">
        <v>264</v>
      </c>
      <c r="C13">
        <v>318</v>
      </c>
      <c r="D13">
        <v>15</v>
      </c>
      <c r="E13">
        <v>9</v>
      </c>
      <c r="F13">
        <v>606</v>
      </c>
    </row>
    <row r="14" spans="1:10" x14ac:dyDescent="0.3">
      <c r="A14" s="6" t="s">
        <v>37</v>
      </c>
      <c r="B14">
        <v>296</v>
      </c>
      <c r="C14">
        <v>275</v>
      </c>
      <c r="D14">
        <v>9</v>
      </c>
      <c r="E14">
        <v>23</v>
      </c>
      <c r="F14">
        <v>603</v>
      </c>
    </row>
    <row r="15" spans="1:10" x14ac:dyDescent="0.3">
      <c r="A15" s="6" t="s">
        <v>123</v>
      </c>
      <c r="B15">
        <v>153</v>
      </c>
      <c r="C15">
        <v>246</v>
      </c>
      <c r="D15">
        <v>30</v>
      </c>
      <c r="E15">
        <v>8</v>
      </c>
      <c r="F15">
        <v>437</v>
      </c>
    </row>
    <row r="16" spans="1:10" x14ac:dyDescent="0.3">
      <c r="A16" s="6" t="s">
        <v>146</v>
      </c>
      <c r="B16">
        <v>189</v>
      </c>
      <c r="C16">
        <v>168</v>
      </c>
      <c r="D16">
        <v>10</v>
      </c>
      <c r="E16">
        <v>31</v>
      </c>
      <c r="F16">
        <v>398</v>
      </c>
    </row>
    <row r="17" spans="1:6" x14ac:dyDescent="0.3">
      <c r="A17" s="6" t="s">
        <v>69</v>
      </c>
      <c r="B17">
        <v>234</v>
      </c>
      <c r="C17">
        <v>93</v>
      </c>
      <c r="D17">
        <v>19</v>
      </c>
      <c r="E17">
        <v>24</v>
      </c>
      <c r="F17">
        <v>370</v>
      </c>
    </row>
    <row r="18" spans="1:6" x14ac:dyDescent="0.3">
      <c r="A18" s="6" t="s">
        <v>30</v>
      </c>
      <c r="B18">
        <v>146</v>
      </c>
      <c r="C18">
        <v>94</v>
      </c>
      <c r="D18">
        <v>4</v>
      </c>
      <c r="E18">
        <v>28</v>
      </c>
      <c r="F18">
        <v>272</v>
      </c>
    </row>
    <row r="19" spans="1:6" x14ac:dyDescent="0.3">
      <c r="A19" s="6" t="s">
        <v>135</v>
      </c>
      <c r="B19">
        <v>127</v>
      </c>
      <c r="C19">
        <v>118</v>
      </c>
      <c r="D19">
        <v>13</v>
      </c>
      <c r="E19">
        <v>12</v>
      </c>
      <c r="F19">
        <v>270</v>
      </c>
    </row>
    <row r="20" spans="1:6" x14ac:dyDescent="0.3">
      <c r="A20" s="6" t="s">
        <v>67</v>
      </c>
      <c r="B20">
        <v>179</v>
      </c>
      <c r="C20">
        <v>76</v>
      </c>
      <c r="D20">
        <v>3</v>
      </c>
      <c r="F20">
        <v>258</v>
      </c>
    </row>
    <row r="21" spans="1:6" x14ac:dyDescent="0.3">
      <c r="A21" s="6" t="s">
        <v>128</v>
      </c>
      <c r="B21">
        <v>99</v>
      </c>
      <c r="C21">
        <v>69</v>
      </c>
      <c r="D21">
        <v>3</v>
      </c>
      <c r="E21">
        <v>24</v>
      </c>
      <c r="F21">
        <v>195</v>
      </c>
    </row>
    <row r="22" spans="1:6" x14ac:dyDescent="0.3">
      <c r="A22" s="6" t="s">
        <v>76</v>
      </c>
      <c r="B22">
        <v>75</v>
      </c>
      <c r="C22">
        <v>103</v>
      </c>
      <c r="D22">
        <v>4</v>
      </c>
      <c r="E22">
        <v>6</v>
      </c>
      <c r="F22">
        <v>188</v>
      </c>
    </row>
    <row r="23" spans="1:6" x14ac:dyDescent="0.3">
      <c r="A23" s="6" t="s">
        <v>81</v>
      </c>
      <c r="B23">
        <v>43</v>
      </c>
      <c r="C23">
        <v>90</v>
      </c>
      <c r="D23">
        <v>8</v>
      </c>
      <c r="E23">
        <v>6</v>
      </c>
      <c r="F23">
        <v>147</v>
      </c>
    </row>
    <row r="24" spans="1:6" x14ac:dyDescent="0.3">
      <c r="A24" s="6" t="s">
        <v>171</v>
      </c>
      <c r="B24">
        <v>26</v>
      </c>
      <c r="C24">
        <v>35</v>
      </c>
      <c r="D24">
        <v>4</v>
      </c>
      <c r="F24">
        <v>65</v>
      </c>
    </row>
    <row r="25" spans="1:6" x14ac:dyDescent="0.3">
      <c r="A25" s="6" t="s">
        <v>2529</v>
      </c>
      <c r="B25">
        <v>6272</v>
      </c>
      <c r="C25">
        <v>4672</v>
      </c>
      <c r="D25">
        <v>317</v>
      </c>
      <c r="E25">
        <v>736</v>
      </c>
      <c r="F25">
        <v>11997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B32A-C91D-46D6-9803-BA082DF50CD8}">
  <dimension ref="A1:W62"/>
  <sheetViews>
    <sheetView topLeftCell="BM142" zoomScale="40" zoomScaleNormal="67" workbookViewId="0">
      <selection activeCell="L5" sqref="L5"/>
    </sheetView>
  </sheetViews>
  <sheetFormatPr defaultRowHeight="14.4" x14ac:dyDescent="0.3"/>
  <cols>
    <col min="1" max="1" width="22.77734375" bestFit="1" customWidth="1"/>
    <col min="2" max="2" width="22.88671875" bestFit="1" customWidth="1"/>
    <col min="3" max="3" width="21.77734375" bestFit="1" customWidth="1"/>
    <col min="4" max="4" width="20.44140625" bestFit="1" customWidth="1"/>
    <col min="5" max="10" width="2" bestFit="1" customWidth="1"/>
    <col min="11" max="11" width="3" bestFit="1" customWidth="1"/>
    <col min="12" max="12" width="14.88671875" customWidth="1"/>
    <col min="13" max="13" width="25.88671875" customWidth="1"/>
    <col min="14" max="14" width="22.33203125" customWidth="1"/>
    <col min="15" max="20" width="3" bestFit="1" customWidth="1"/>
    <col min="21" max="21" width="13.77734375" customWidth="1"/>
    <col min="22" max="22" width="20.6640625" customWidth="1"/>
    <col min="23" max="23" width="15.5546875" customWidth="1"/>
    <col min="24" max="49" width="3" bestFit="1" customWidth="1"/>
    <col min="50" max="50" width="10.5546875" bestFit="1" customWidth="1"/>
  </cols>
  <sheetData>
    <row r="1" spans="1:23" x14ac:dyDescent="0.3">
      <c r="A1" t="s">
        <v>2538</v>
      </c>
    </row>
    <row r="3" spans="1:23" x14ac:dyDescent="0.3">
      <c r="A3" s="5" t="s">
        <v>10</v>
      </c>
      <c r="B3" s="5" t="s">
        <v>11</v>
      </c>
      <c r="C3" t="s">
        <v>2519</v>
      </c>
      <c r="D3" t="s">
        <v>2520</v>
      </c>
    </row>
    <row r="4" spans="1:23" x14ac:dyDescent="0.3">
      <c r="A4" t="s">
        <v>19</v>
      </c>
      <c r="B4" t="s">
        <v>115</v>
      </c>
      <c r="C4">
        <v>579</v>
      </c>
      <c r="D4">
        <v>31884.999999999996</v>
      </c>
      <c r="L4" s="15" t="s">
        <v>10</v>
      </c>
      <c r="M4" s="15" t="s">
        <v>11</v>
      </c>
      <c r="N4" s="15" t="s">
        <v>2519</v>
      </c>
      <c r="U4" s="15" t="s">
        <v>10</v>
      </c>
      <c r="V4" s="15" t="s">
        <v>11</v>
      </c>
      <c r="W4" s="15" t="s">
        <v>2520</v>
      </c>
    </row>
    <row r="5" spans="1:23" x14ac:dyDescent="0.3">
      <c r="A5" t="s">
        <v>19</v>
      </c>
      <c r="B5" t="s">
        <v>20</v>
      </c>
      <c r="C5">
        <v>1</v>
      </c>
      <c r="D5">
        <v>10.9</v>
      </c>
      <c r="L5" s="7" t="s">
        <v>19</v>
      </c>
      <c r="M5" t="s">
        <v>115</v>
      </c>
      <c r="N5">
        <v>579</v>
      </c>
      <c r="U5" s="7" t="s">
        <v>19</v>
      </c>
      <c r="V5" t="s">
        <v>115</v>
      </c>
      <c r="W5">
        <v>31884.999999999996</v>
      </c>
    </row>
    <row r="6" spans="1:23" x14ac:dyDescent="0.3">
      <c r="A6" t="s">
        <v>19</v>
      </c>
      <c r="B6" t="s">
        <v>641</v>
      </c>
      <c r="C6">
        <v>9</v>
      </c>
      <c r="D6">
        <v>800.3</v>
      </c>
      <c r="L6" s="7" t="s">
        <v>19</v>
      </c>
      <c r="M6" t="s">
        <v>20</v>
      </c>
      <c r="N6">
        <v>1</v>
      </c>
      <c r="U6" s="7" t="s">
        <v>19</v>
      </c>
      <c r="V6" t="s">
        <v>20</v>
      </c>
      <c r="W6">
        <v>10.9</v>
      </c>
    </row>
    <row r="7" spans="1:23" x14ac:dyDescent="0.3">
      <c r="A7" t="s">
        <v>19</v>
      </c>
      <c r="B7" t="s">
        <v>967</v>
      </c>
      <c r="C7">
        <v>35</v>
      </c>
      <c r="D7">
        <v>1062.5999999999999</v>
      </c>
      <c r="L7" s="7" t="s">
        <v>19</v>
      </c>
      <c r="M7" t="s">
        <v>641</v>
      </c>
      <c r="N7">
        <v>9</v>
      </c>
      <c r="U7" s="7" t="s">
        <v>19</v>
      </c>
      <c r="V7" t="s">
        <v>641</v>
      </c>
      <c r="W7">
        <v>800.3</v>
      </c>
    </row>
    <row r="8" spans="1:23" x14ac:dyDescent="0.3">
      <c r="A8" t="s">
        <v>19</v>
      </c>
      <c r="B8" t="s">
        <v>84</v>
      </c>
      <c r="C8">
        <v>12</v>
      </c>
      <c r="D8">
        <v>326.20000000000005</v>
      </c>
      <c r="L8" s="7" t="s">
        <v>19</v>
      </c>
      <c r="M8" t="s">
        <v>967</v>
      </c>
      <c r="N8">
        <v>35</v>
      </c>
      <c r="U8" s="7" t="s">
        <v>19</v>
      </c>
      <c r="V8" t="s">
        <v>967</v>
      </c>
      <c r="W8">
        <v>1062.5999999999999</v>
      </c>
    </row>
    <row r="9" spans="1:23" x14ac:dyDescent="0.3">
      <c r="A9" t="s">
        <v>19</v>
      </c>
      <c r="B9" t="s">
        <v>1383</v>
      </c>
      <c r="C9">
        <v>4</v>
      </c>
      <c r="D9">
        <v>167.5</v>
      </c>
      <c r="L9" s="7" t="s">
        <v>19</v>
      </c>
      <c r="M9" t="s">
        <v>84</v>
      </c>
      <c r="N9">
        <v>12</v>
      </c>
      <c r="U9" s="7" t="s">
        <v>19</v>
      </c>
      <c r="V9" t="s">
        <v>84</v>
      </c>
      <c r="W9">
        <v>326.20000000000005</v>
      </c>
    </row>
    <row r="10" spans="1:23" x14ac:dyDescent="0.3">
      <c r="A10" t="s">
        <v>19</v>
      </c>
      <c r="B10" t="s">
        <v>24</v>
      </c>
      <c r="C10">
        <v>341</v>
      </c>
      <c r="D10">
        <v>16168.7</v>
      </c>
      <c r="L10" s="7" t="s">
        <v>19</v>
      </c>
      <c r="M10" t="s">
        <v>1383</v>
      </c>
      <c r="N10">
        <v>4</v>
      </c>
      <c r="U10" s="7" t="s">
        <v>19</v>
      </c>
      <c r="V10" t="s">
        <v>1383</v>
      </c>
      <c r="W10">
        <v>167.5</v>
      </c>
    </row>
    <row r="11" spans="1:23" x14ac:dyDescent="0.3">
      <c r="A11" t="s">
        <v>19</v>
      </c>
      <c r="B11" t="s">
        <v>2204</v>
      </c>
      <c r="C11">
        <v>13</v>
      </c>
      <c r="D11">
        <v>322.40000000000003</v>
      </c>
      <c r="L11" s="7" t="s">
        <v>19</v>
      </c>
      <c r="M11" t="s">
        <v>24</v>
      </c>
      <c r="N11">
        <v>341</v>
      </c>
      <c r="U11" s="7" t="s">
        <v>19</v>
      </c>
      <c r="V11" t="s">
        <v>24</v>
      </c>
      <c r="W11">
        <v>16168.7</v>
      </c>
    </row>
    <row r="12" spans="1:23" x14ac:dyDescent="0.3">
      <c r="A12" t="s">
        <v>19</v>
      </c>
      <c r="B12" t="s">
        <v>437</v>
      </c>
      <c r="C12">
        <v>31</v>
      </c>
      <c r="D12">
        <v>2092.8000000000002</v>
      </c>
      <c r="L12" s="7" t="s">
        <v>19</v>
      </c>
      <c r="M12" t="s">
        <v>2204</v>
      </c>
      <c r="N12">
        <v>13</v>
      </c>
      <c r="U12" s="7" t="s">
        <v>19</v>
      </c>
      <c r="V12" t="s">
        <v>2204</v>
      </c>
      <c r="W12">
        <v>322.40000000000003</v>
      </c>
    </row>
    <row r="13" spans="1:23" x14ac:dyDescent="0.3">
      <c r="A13" t="s">
        <v>19</v>
      </c>
      <c r="B13" t="s">
        <v>28</v>
      </c>
      <c r="C13">
        <v>279</v>
      </c>
      <c r="D13">
        <v>12662.500000000002</v>
      </c>
      <c r="L13" s="7" t="s">
        <v>19</v>
      </c>
      <c r="M13" t="s">
        <v>437</v>
      </c>
      <c r="N13">
        <v>31</v>
      </c>
      <c r="U13" s="7" t="s">
        <v>19</v>
      </c>
      <c r="V13" t="s">
        <v>437</v>
      </c>
      <c r="W13">
        <v>2092.8000000000002</v>
      </c>
    </row>
    <row r="14" spans="1:23" x14ac:dyDescent="0.3">
      <c r="A14" t="s">
        <v>19</v>
      </c>
      <c r="B14" t="s">
        <v>208</v>
      </c>
      <c r="C14">
        <v>9</v>
      </c>
      <c r="D14">
        <v>343.2</v>
      </c>
      <c r="L14" s="7" t="s">
        <v>19</v>
      </c>
      <c r="M14" t="s">
        <v>28</v>
      </c>
      <c r="N14">
        <v>279</v>
      </c>
      <c r="U14" s="7" t="s">
        <v>19</v>
      </c>
      <c r="V14" t="s">
        <v>28</v>
      </c>
      <c r="W14">
        <v>12662.500000000002</v>
      </c>
    </row>
    <row r="15" spans="1:23" x14ac:dyDescent="0.3">
      <c r="A15" t="s">
        <v>19</v>
      </c>
      <c r="B15" t="s">
        <v>587</v>
      </c>
      <c r="C15">
        <v>49</v>
      </c>
      <c r="D15">
        <v>2188.2999999999997</v>
      </c>
      <c r="L15" s="7" t="s">
        <v>19</v>
      </c>
      <c r="M15" t="s">
        <v>208</v>
      </c>
      <c r="N15">
        <v>9</v>
      </c>
      <c r="U15" s="7" t="s">
        <v>19</v>
      </c>
      <c r="V15" t="s">
        <v>208</v>
      </c>
      <c r="W15">
        <v>343.2</v>
      </c>
    </row>
    <row r="16" spans="1:23" x14ac:dyDescent="0.3">
      <c r="A16" t="s">
        <v>19</v>
      </c>
      <c r="B16" t="s">
        <v>331</v>
      </c>
      <c r="C16">
        <v>59</v>
      </c>
      <c r="D16">
        <v>2661.5999999999995</v>
      </c>
      <c r="L16" s="7" t="s">
        <v>19</v>
      </c>
      <c r="M16" t="s">
        <v>587</v>
      </c>
      <c r="N16">
        <v>49</v>
      </c>
      <c r="U16" s="7" t="s">
        <v>19</v>
      </c>
      <c r="V16" t="s">
        <v>587</v>
      </c>
      <c r="W16">
        <v>2188.2999999999997</v>
      </c>
    </row>
    <row r="17" spans="1:23" x14ac:dyDescent="0.3">
      <c r="A17" t="s">
        <v>19</v>
      </c>
      <c r="B17" t="s">
        <v>86</v>
      </c>
      <c r="C17">
        <v>8</v>
      </c>
      <c r="D17">
        <v>887.5</v>
      </c>
      <c r="L17" s="7" t="s">
        <v>19</v>
      </c>
      <c r="M17" t="s">
        <v>331</v>
      </c>
      <c r="N17">
        <v>59</v>
      </c>
      <c r="U17" s="7" t="s">
        <v>19</v>
      </c>
      <c r="V17" t="s">
        <v>331</v>
      </c>
      <c r="W17">
        <v>2661.5999999999995</v>
      </c>
    </row>
    <row r="18" spans="1:23" x14ac:dyDescent="0.3">
      <c r="A18" t="s">
        <v>19</v>
      </c>
      <c r="B18" t="s">
        <v>147</v>
      </c>
      <c r="C18">
        <v>222</v>
      </c>
      <c r="D18">
        <v>11354.199999999993</v>
      </c>
      <c r="L18" s="7" t="s">
        <v>19</v>
      </c>
      <c r="M18" t="s">
        <v>86</v>
      </c>
      <c r="N18">
        <v>8</v>
      </c>
      <c r="U18" s="7" t="s">
        <v>19</v>
      </c>
      <c r="V18" t="s">
        <v>86</v>
      </c>
      <c r="W18">
        <v>887.5</v>
      </c>
    </row>
    <row r="19" spans="1:23" x14ac:dyDescent="0.3">
      <c r="A19" t="s">
        <v>19</v>
      </c>
      <c r="B19" t="s">
        <v>334</v>
      </c>
      <c r="C19">
        <v>36</v>
      </c>
      <c r="D19">
        <v>1558.4</v>
      </c>
      <c r="L19" s="7" t="s">
        <v>19</v>
      </c>
      <c r="M19" t="s">
        <v>147</v>
      </c>
      <c r="N19">
        <v>222</v>
      </c>
      <c r="U19" s="7" t="s">
        <v>19</v>
      </c>
      <c r="V19" t="s">
        <v>147</v>
      </c>
      <c r="W19">
        <v>11354.199999999993</v>
      </c>
    </row>
    <row r="20" spans="1:23" x14ac:dyDescent="0.3">
      <c r="A20" t="s">
        <v>19</v>
      </c>
      <c r="B20" t="s">
        <v>949</v>
      </c>
      <c r="C20">
        <v>30</v>
      </c>
      <c r="D20">
        <v>2223.9</v>
      </c>
      <c r="L20" s="7" t="s">
        <v>19</v>
      </c>
      <c r="M20" t="s">
        <v>334</v>
      </c>
      <c r="N20">
        <v>36</v>
      </c>
      <c r="U20" s="7" t="s">
        <v>19</v>
      </c>
      <c r="V20" t="s">
        <v>334</v>
      </c>
      <c r="W20">
        <v>1558.4</v>
      </c>
    </row>
    <row r="21" spans="1:23" x14ac:dyDescent="0.3">
      <c r="A21" t="s">
        <v>19</v>
      </c>
      <c r="B21" t="s">
        <v>1426</v>
      </c>
      <c r="C21">
        <v>1</v>
      </c>
      <c r="D21">
        <v>26.2</v>
      </c>
      <c r="L21" s="7" t="s">
        <v>19</v>
      </c>
      <c r="M21" t="s">
        <v>949</v>
      </c>
      <c r="N21">
        <v>30</v>
      </c>
      <c r="U21" s="7" t="s">
        <v>19</v>
      </c>
      <c r="V21" t="s">
        <v>949</v>
      </c>
      <c r="W21">
        <v>2223.9</v>
      </c>
    </row>
    <row r="22" spans="1:23" x14ac:dyDescent="0.3">
      <c r="A22" t="s">
        <v>19</v>
      </c>
      <c r="B22" t="s">
        <v>33</v>
      </c>
      <c r="C22">
        <v>3991</v>
      </c>
      <c r="D22">
        <v>215551.19999999981</v>
      </c>
      <c r="L22" s="7" t="s">
        <v>19</v>
      </c>
      <c r="M22" t="s">
        <v>1426</v>
      </c>
      <c r="N22">
        <v>1</v>
      </c>
      <c r="U22" s="7" t="s">
        <v>19</v>
      </c>
      <c r="V22" t="s">
        <v>1426</v>
      </c>
      <c r="W22">
        <v>26.2</v>
      </c>
    </row>
    <row r="23" spans="1:23" x14ac:dyDescent="0.3">
      <c r="A23" t="s">
        <v>19</v>
      </c>
      <c r="B23" t="s">
        <v>364</v>
      </c>
      <c r="C23">
        <v>45</v>
      </c>
      <c r="D23">
        <v>2687.3999999999996</v>
      </c>
      <c r="L23" s="7" t="s">
        <v>19</v>
      </c>
      <c r="M23" t="s">
        <v>33</v>
      </c>
      <c r="N23">
        <v>3991</v>
      </c>
      <c r="U23" s="7" t="s">
        <v>19</v>
      </c>
      <c r="V23" t="s">
        <v>33</v>
      </c>
      <c r="W23">
        <v>215551.19999999981</v>
      </c>
    </row>
    <row r="24" spans="1:23" x14ac:dyDescent="0.3">
      <c r="A24" t="s">
        <v>19</v>
      </c>
      <c r="B24" t="s">
        <v>545</v>
      </c>
      <c r="C24">
        <v>39</v>
      </c>
      <c r="D24">
        <v>1463.3000000000002</v>
      </c>
      <c r="L24" s="7" t="s">
        <v>19</v>
      </c>
      <c r="M24" t="s">
        <v>364</v>
      </c>
      <c r="N24">
        <v>45</v>
      </c>
      <c r="U24" s="7" t="s">
        <v>19</v>
      </c>
      <c r="V24" t="s">
        <v>364</v>
      </c>
      <c r="W24">
        <v>2687.3999999999996</v>
      </c>
    </row>
    <row r="25" spans="1:23" x14ac:dyDescent="0.3">
      <c r="A25" t="s">
        <v>19</v>
      </c>
      <c r="B25" t="s">
        <v>416</v>
      </c>
      <c r="C25">
        <v>6</v>
      </c>
      <c r="D25">
        <v>445.79999999999995</v>
      </c>
      <c r="L25" s="7" t="s">
        <v>19</v>
      </c>
      <c r="M25" t="s">
        <v>545</v>
      </c>
      <c r="N25">
        <v>39</v>
      </c>
      <c r="U25" s="7" t="s">
        <v>19</v>
      </c>
      <c r="V25" t="s">
        <v>545</v>
      </c>
      <c r="W25">
        <v>1463.3000000000002</v>
      </c>
    </row>
    <row r="26" spans="1:23" x14ac:dyDescent="0.3">
      <c r="A26" t="s">
        <v>19</v>
      </c>
      <c r="B26" t="s">
        <v>258</v>
      </c>
      <c r="C26">
        <v>9</v>
      </c>
      <c r="D26">
        <v>273.59999999999997</v>
      </c>
      <c r="L26" s="7" t="s">
        <v>19</v>
      </c>
      <c r="M26" t="s">
        <v>416</v>
      </c>
      <c r="N26">
        <v>6</v>
      </c>
      <c r="U26" s="7" t="s">
        <v>19</v>
      </c>
      <c r="V26" t="s">
        <v>416</v>
      </c>
      <c r="W26">
        <v>445.79999999999995</v>
      </c>
    </row>
    <row r="27" spans="1:23" x14ac:dyDescent="0.3">
      <c r="A27" t="s">
        <v>19</v>
      </c>
      <c r="B27" t="s">
        <v>186</v>
      </c>
      <c r="C27">
        <v>60</v>
      </c>
      <c r="D27">
        <v>2690.4</v>
      </c>
      <c r="L27" s="7" t="s">
        <v>19</v>
      </c>
      <c r="M27" t="s">
        <v>258</v>
      </c>
      <c r="N27">
        <v>9</v>
      </c>
      <c r="U27" s="7" t="s">
        <v>19</v>
      </c>
      <c r="V27" t="s">
        <v>258</v>
      </c>
      <c r="W27">
        <v>273.59999999999997</v>
      </c>
    </row>
    <row r="28" spans="1:23" x14ac:dyDescent="0.3">
      <c r="A28" t="s">
        <v>19</v>
      </c>
      <c r="B28" t="s">
        <v>392</v>
      </c>
      <c r="C28">
        <v>2</v>
      </c>
      <c r="D28">
        <v>28.4</v>
      </c>
      <c r="L28" s="7" t="s">
        <v>19</v>
      </c>
      <c r="M28" t="s">
        <v>186</v>
      </c>
      <c r="N28">
        <v>60</v>
      </c>
      <c r="U28" s="7" t="s">
        <v>19</v>
      </c>
      <c r="V28" t="s">
        <v>186</v>
      </c>
      <c r="W28">
        <v>2690.4</v>
      </c>
    </row>
    <row r="29" spans="1:23" x14ac:dyDescent="0.3">
      <c r="A29" t="s">
        <v>19</v>
      </c>
      <c r="B29" t="s">
        <v>670</v>
      </c>
      <c r="C29">
        <v>4</v>
      </c>
      <c r="D29">
        <v>204.8</v>
      </c>
      <c r="L29" s="7" t="s">
        <v>19</v>
      </c>
      <c r="M29" t="s">
        <v>392</v>
      </c>
      <c r="N29">
        <v>2</v>
      </c>
      <c r="U29" s="7" t="s">
        <v>19</v>
      </c>
      <c r="V29" t="s">
        <v>392</v>
      </c>
      <c r="W29">
        <v>28.4</v>
      </c>
    </row>
    <row r="30" spans="1:23" x14ac:dyDescent="0.3">
      <c r="A30" t="s">
        <v>19</v>
      </c>
      <c r="B30" t="s">
        <v>802</v>
      </c>
      <c r="C30">
        <v>31</v>
      </c>
      <c r="D30">
        <v>1607.8999999999999</v>
      </c>
      <c r="L30" s="7" t="s">
        <v>19</v>
      </c>
      <c r="M30" t="s">
        <v>670</v>
      </c>
      <c r="N30">
        <v>4</v>
      </c>
      <c r="U30" s="7" t="s">
        <v>19</v>
      </c>
      <c r="V30" t="s">
        <v>670</v>
      </c>
      <c r="W30">
        <v>204.8</v>
      </c>
    </row>
    <row r="31" spans="1:23" x14ac:dyDescent="0.3">
      <c r="A31" t="s">
        <v>19</v>
      </c>
      <c r="B31" t="s">
        <v>98</v>
      </c>
      <c r="C31">
        <v>88</v>
      </c>
      <c r="D31">
        <v>6444.9</v>
      </c>
      <c r="L31" s="7" t="s">
        <v>19</v>
      </c>
      <c r="M31" t="s">
        <v>802</v>
      </c>
      <c r="N31">
        <v>31</v>
      </c>
      <c r="U31" s="7" t="s">
        <v>19</v>
      </c>
      <c r="V31" t="s">
        <v>802</v>
      </c>
      <c r="W31">
        <v>1607.8999999999999</v>
      </c>
    </row>
    <row r="32" spans="1:23" x14ac:dyDescent="0.3">
      <c r="A32" t="s">
        <v>19</v>
      </c>
      <c r="B32" t="s">
        <v>49</v>
      </c>
      <c r="C32">
        <v>25</v>
      </c>
      <c r="D32">
        <v>1809.3</v>
      </c>
      <c r="L32" s="7" t="s">
        <v>19</v>
      </c>
      <c r="M32" t="s">
        <v>98</v>
      </c>
      <c r="N32">
        <v>88</v>
      </c>
      <c r="U32" s="7" t="s">
        <v>19</v>
      </c>
      <c r="V32" t="s">
        <v>98</v>
      </c>
      <c r="W32">
        <v>6444.9</v>
      </c>
    </row>
    <row r="33" spans="1:23" x14ac:dyDescent="0.3">
      <c r="A33" t="s">
        <v>19</v>
      </c>
      <c r="B33" t="s">
        <v>188</v>
      </c>
      <c r="C33">
        <v>178</v>
      </c>
      <c r="D33">
        <v>9680.399999999996</v>
      </c>
      <c r="L33" s="7" t="s">
        <v>19</v>
      </c>
      <c r="M33" t="s">
        <v>49</v>
      </c>
      <c r="N33">
        <v>25</v>
      </c>
      <c r="U33" s="7" t="s">
        <v>19</v>
      </c>
      <c r="V33" t="s">
        <v>49</v>
      </c>
      <c r="W33">
        <v>1809.3</v>
      </c>
    </row>
    <row r="34" spans="1:23" x14ac:dyDescent="0.3">
      <c r="A34" t="s">
        <v>19</v>
      </c>
      <c r="B34" t="s">
        <v>52</v>
      </c>
      <c r="C34">
        <v>141</v>
      </c>
      <c r="D34">
        <v>9414.7999999999993</v>
      </c>
      <c r="L34" s="7" t="s">
        <v>19</v>
      </c>
      <c r="M34" t="s">
        <v>188</v>
      </c>
      <c r="N34">
        <v>178</v>
      </c>
      <c r="U34" s="7" t="s">
        <v>19</v>
      </c>
      <c r="V34" t="s">
        <v>188</v>
      </c>
      <c r="W34">
        <v>9680.399999999996</v>
      </c>
    </row>
    <row r="35" spans="1:23" x14ac:dyDescent="0.3">
      <c r="A35" t="s">
        <v>19</v>
      </c>
      <c r="B35" t="s">
        <v>338</v>
      </c>
      <c r="C35">
        <v>6</v>
      </c>
      <c r="D35">
        <v>206.1</v>
      </c>
      <c r="L35" s="7" t="s">
        <v>19</v>
      </c>
      <c r="M35" t="s">
        <v>52</v>
      </c>
      <c r="N35">
        <v>141</v>
      </c>
      <c r="U35" s="7" t="s">
        <v>19</v>
      </c>
      <c r="V35" t="s">
        <v>52</v>
      </c>
      <c r="W35">
        <v>9414.7999999999993</v>
      </c>
    </row>
    <row r="36" spans="1:23" x14ac:dyDescent="0.3">
      <c r="A36" t="s">
        <v>19</v>
      </c>
      <c r="B36" t="s">
        <v>158</v>
      </c>
      <c r="C36">
        <v>178</v>
      </c>
      <c r="D36">
        <v>7691.3</v>
      </c>
      <c r="L36" s="7" t="s">
        <v>19</v>
      </c>
      <c r="M36" t="s">
        <v>338</v>
      </c>
      <c r="N36">
        <v>6</v>
      </c>
      <c r="U36" s="7" t="s">
        <v>19</v>
      </c>
      <c r="V36" t="s">
        <v>338</v>
      </c>
      <c r="W36">
        <v>206.1</v>
      </c>
    </row>
    <row r="37" spans="1:23" x14ac:dyDescent="0.3">
      <c r="A37" t="s">
        <v>19</v>
      </c>
      <c r="B37" t="s">
        <v>55</v>
      </c>
      <c r="C37">
        <v>699</v>
      </c>
      <c r="D37">
        <v>37784.900000000016</v>
      </c>
      <c r="L37" s="7" t="s">
        <v>19</v>
      </c>
      <c r="M37" t="s">
        <v>158</v>
      </c>
      <c r="N37">
        <v>178</v>
      </c>
      <c r="U37" s="7" t="s">
        <v>19</v>
      </c>
      <c r="V37" t="s">
        <v>158</v>
      </c>
      <c r="W37">
        <v>7691.3</v>
      </c>
    </row>
    <row r="38" spans="1:23" x14ac:dyDescent="0.3">
      <c r="A38" t="s">
        <v>19</v>
      </c>
      <c r="B38" t="s">
        <v>342</v>
      </c>
      <c r="C38">
        <v>23</v>
      </c>
      <c r="D38">
        <v>1129.7</v>
      </c>
      <c r="L38" s="7" t="s">
        <v>19</v>
      </c>
      <c r="M38" t="s">
        <v>55</v>
      </c>
      <c r="N38">
        <v>699</v>
      </c>
      <c r="U38" s="7" t="s">
        <v>19</v>
      </c>
      <c r="V38" t="s">
        <v>55</v>
      </c>
      <c r="W38">
        <v>37784.900000000016</v>
      </c>
    </row>
    <row r="39" spans="1:23" x14ac:dyDescent="0.3">
      <c r="A39" t="s">
        <v>19</v>
      </c>
      <c r="B39" t="s">
        <v>59</v>
      </c>
      <c r="C39">
        <v>356</v>
      </c>
      <c r="D39">
        <v>20988.9</v>
      </c>
      <c r="L39" s="7" t="s">
        <v>19</v>
      </c>
      <c r="M39" t="s">
        <v>342</v>
      </c>
      <c r="N39">
        <v>23</v>
      </c>
      <c r="U39" s="7" t="s">
        <v>19</v>
      </c>
      <c r="V39" t="s">
        <v>342</v>
      </c>
      <c r="W39">
        <v>1129.7</v>
      </c>
    </row>
    <row r="40" spans="1:23" x14ac:dyDescent="0.3">
      <c r="A40" t="s">
        <v>19</v>
      </c>
      <c r="B40" t="s">
        <v>62</v>
      </c>
      <c r="C40">
        <v>1768</v>
      </c>
      <c r="D40">
        <v>98367.099999999977</v>
      </c>
      <c r="L40" s="7" t="s">
        <v>19</v>
      </c>
      <c r="M40" t="s">
        <v>59</v>
      </c>
      <c r="N40">
        <v>356</v>
      </c>
      <c r="U40" s="7" t="s">
        <v>19</v>
      </c>
      <c r="V40" t="s">
        <v>59</v>
      </c>
      <c r="W40">
        <v>20988.9</v>
      </c>
    </row>
    <row r="41" spans="1:23" x14ac:dyDescent="0.3">
      <c r="A41" t="s">
        <v>19</v>
      </c>
      <c r="B41" t="s">
        <v>103</v>
      </c>
      <c r="C41">
        <v>307</v>
      </c>
      <c r="D41">
        <v>21911.9</v>
      </c>
      <c r="L41" s="7" t="s">
        <v>19</v>
      </c>
      <c r="M41" t="s">
        <v>62</v>
      </c>
      <c r="N41">
        <v>1768</v>
      </c>
      <c r="U41" s="7" t="s">
        <v>19</v>
      </c>
      <c r="V41" t="s">
        <v>62</v>
      </c>
      <c r="W41">
        <v>98367.099999999977</v>
      </c>
    </row>
    <row r="42" spans="1:23" x14ac:dyDescent="0.3">
      <c r="A42" t="s">
        <v>19</v>
      </c>
      <c r="B42" t="s">
        <v>201</v>
      </c>
      <c r="C42">
        <v>117</v>
      </c>
      <c r="D42">
        <v>5441.2</v>
      </c>
      <c r="L42" s="7" t="s">
        <v>19</v>
      </c>
      <c r="M42" t="s">
        <v>103</v>
      </c>
      <c r="N42">
        <v>307</v>
      </c>
      <c r="U42" s="7" t="s">
        <v>19</v>
      </c>
      <c r="V42" t="s">
        <v>103</v>
      </c>
      <c r="W42">
        <v>21911.9</v>
      </c>
    </row>
    <row r="43" spans="1:23" x14ac:dyDescent="0.3">
      <c r="A43" t="s">
        <v>19</v>
      </c>
      <c r="B43" t="s">
        <v>429</v>
      </c>
      <c r="C43">
        <v>13</v>
      </c>
      <c r="D43">
        <v>392.8</v>
      </c>
      <c r="L43" s="7" t="s">
        <v>19</v>
      </c>
      <c r="M43" t="s">
        <v>201</v>
      </c>
      <c r="N43">
        <v>117</v>
      </c>
      <c r="U43" s="7" t="s">
        <v>19</v>
      </c>
      <c r="V43" t="s">
        <v>201</v>
      </c>
      <c r="W43">
        <v>5441.2</v>
      </c>
    </row>
    <row r="44" spans="1:23" x14ac:dyDescent="0.3">
      <c r="A44" t="s">
        <v>19</v>
      </c>
      <c r="B44" t="s">
        <v>72</v>
      </c>
      <c r="C44">
        <v>364</v>
      </c>
      <c r="D44">
        <v>16172.000000000005</v>
      </c>
      <c r="L44" s="7" t="s">
        <v>19</v>
      </c>
      <c r="M44" t="s">
        <v>429</v>
      </c>
      <c r="N44">
        <v>13</v>
      </c>
      <c r="U44" s="7" t="s">
        <v>19</v>
      </c>
      <c r="V44" t="s">
        <v>429</v>
      </c>
      <c r="W44">
        <v>392.8</v>
      </c>
    </row>
    <row r="45" spans="1:23" x14ac:dyDescent="0.3">
      <c r="A45" t="s">
        <v>19</v>
      </c>
      <c r="B45" t="s">
        <v>74</v>
      </c>
      <c r="C45">
        <v>95</v>
      </c>
      <c r="D45">
        <v>4334.9999999999991</v>
      </c>
      <c r="L45" s="7" t="s">
        <v>19</v>
      </c>
      <c r="M45" t="s">
        <v>72</v>
      </c>
      <c r="N45">
        <v>364</v>
      </c>
      <c r="U45" s="7" t="s">
        <v>19</v>
      </c>
      <c r="V45" t="s">
        <v>72</v>
      </c>
      <c r="W45">
        <v>16172.000000000005</v>
      </c>
    </row>
    <row r="46" spans="1:23" x14ac:dyDescent="0.3">
      <c r="A46" t="s">
        <v>19</v>
      </c>
      <c r="B46" t="s">
        <v>77</v>
      </c>
      <c r="C46">
        <v>737</v>
      </c>
      <c r="D46">
        <v>37449.000000000007</v>
      </c>
      <c r="L46" s="7" t="s">
        <v>19</v>
      </c>
      <c r="M46" t="s">
        <v>74</v>
      </c>
      <c r="N46">
        <v>95</v>
      </c>
      <c r="U46" s="7" t="s">
        <v>19</v>
      </c>
      <c r="V46" t="s">
        <v>74</v>
      </c>
      <c r="W46">
        <v>4334.9999999999991</v>
      </c>
    </row>
    <row r="47" spans="1:23" x14ac:dyDescent="0.3">
      <c r="A47" t="s">
        <v>19</v>
      </c>
      <c r="B47" t="s">
        <v>309</v>
      </c>
      <c r="C47">
        <v>39</v>
      </c>
      <c r="D47">
        <v>2447.5</v>
      </c>
      <c r="L47" s="7" t="s">
        <v>19</v>
      </c>
      <c r="M47" t="s">
        <v>77</v>
      </c>
      <c r="N47">
        <v>737</v>
      </c>
      <c r="U47" s="7" t="s">
        <v>19</v>
      </c>
      <c r="V47" t="s">
        <v>77</v>
      </c>
      <c r="W47">
        <v>37449.000000000007</v>
      </c>
    </row>
    <row r="48" spans="1:23" x14ac:dyDescent="0.3">
      <c r="A48" t="s">
        <v>19</v>
      </c>
      <c r="B48" t="s">
        <v>1116</v>
      </c>
      <c r="C48">
        <v>56</v>
      </c>
      <c r="D48">
        <v>3391.1</v>
      </c>
      <c r="L48" s="7" t="s">
        <v>19</v>
      </c>
      <c r="M48" t="s">
        <v>309</v>
      </c>
      <c r="N48">
        <v>39</v>
      </c>
      <c r="U48" s="7" t="s">
        <v>19</v>
      </c>
      <c r="V48" t="s">
        <v>309</v>
      </c>
      <c r="W48">
        <v>2447.5</v>
      </c>
    </row>
    <row r="49" spans="1:23" x14ac:dyDescent="0.3">
      <c r="A49" t="s">
        <v>19</v>
      </c>
      <c r="B49" t="s">
        <v>700</v>
      </c>
      <c r="C49">
        <v>2</v>
      </c>
      <c r="D49">
        <v>30.8</v>
      </c>
      <c r="L49" s="7" t="s">
        <v>19</v>
      </c>
      <c r="M49" t="s">
        <v>1116</v>
      </c>
      <c r="N49">
        <v>56</v>
      </c>
      <c r="U49" s="7" t="s">
        <v>19</v>
      </c>
      <c r="V49" t="s">
        <v>1116</v>
      </c>
      <c r="W49">
        <v>3391.1</v>
      </c>
    </row>
    <row r="50" spans="1:23" x14ac:dyDescent="0.3">
      <c r="A50" t="s">
        <v>19</v>
      </c>
      <c r="B50" t="s">
        <v>268</v>
      </c>
      <c r="C50">
        <v>8</v>
      </c>
      <c r="D50">
        <v>332.3</v>
      </c>
      <c r="L50" s="7" t="s">
        <v>19</v>
      </c>
      <c r="M50" t="s">
        <v>700</v>
      </c>
      <c r="N50">
        <v>2</v>
      </c>
      <c r="U50" s="7" t="s">
        <v>19</v>
      </c>
      <c r="V50" t="s">
        <v>700</v>
      </c>
      <c r="W50">
        <v>30.8</v>
      </c>
    </row>
    <row r="51" spans="1:23" x14ac:dyDescent="0.3">
      <c r="A51" t="s">
        <v>19</v>
      </c>
      <c r="B51" t="s">
        <v>377</v>
      </c>
      <c r="C51">
        <v>52</v>
      </c>
      <c r="D51">
        <v>3175.9999999999995</v>
      </c>
      <c r="L51" s="7" t="s">
        <v>19</v>
      </c>
      <c r="M51" t="s">
        <v>268</v>
      </c>
      <c r="N51">
        <v>8</v>
      </c>
      <c r="U51" s="7" t="s">
        <v>19</v>
      </c>
      <c r="V51" t="s">
        <v>268</v>
      </c>
      <c r="W51">
        <v>332.3</v>
      </c>
    </row>
    <row r="52" spans="1:23" x14ac:dyDescent="0.3">
      <c r="A52" t="s">
        <v>19</v>
      </c>
      <c r="B52" t="s">
        <v>108</v>
      </c>
      <c r="C52">
        <v>295</v>
      </c>
      <c r="D52">
        <v>20939.600000000002</v>
      </c>
      <c r="L52" s="7" t="s">
        <v>19</v>
      </c>
      <c r="M52" t="s">
        <v>377</v>
      </c>
      <c r="N52">
        <v>52</v>
      </c>
      <c r="U52" s="7" t="s">
        <v>19</v>
      </c>
      <c r="V52" t="s">
        <v>377</v>
      </c>
      <c r="W52">
        <v>3175.9999999999995</v>
      </c>
    </row>
    <row r="53" spans="1:23" x14ac:dyDescent="0.3">
      <c r="A53" t="s">
        <v>19</v>
      </c>
      <c r="B53" t="s">
        <v>110</v>
      </c>
      <c r="C53">
        <v>195</v>
      </c>
      <c r="D53">
        <v>10185.899999999996</v>
      </c>
      <c r="L53" s="7" t="s">
        <v>19</v>
      </c>
      <c r="M53" t="s">
        <v>108</v>
      </c>
      <c r="N53">
        <v>295</v>
      </c>
      <c r="U53" s="7" t="s">
        <v>19</v>
      </c>
      <c r="V53" t="s">
        <v>108</v>
      </c>
      <c r="W53">
        <v>20939.600000000002</v>
      </c>
    </row>
    <row r="54" spans="1:23" x14ac:dyDescent="0.3">
      <c r="A54" t="s">
        <v>19</v>
      </c>
      <c r="B54" t="s">
        <v>292</v>
      </c>
      <c r="C54">
        <v>20</v>
      </c>
      <c r="D54">
        <v>958.7</v>
      </c>
      <c r="L54" s="7" t="s">
        <v>19</v>
      </c>
      <c r="M54" t="s">
        <v>110</v>
      </c>
      <c r="N54">
        <v>195</v>
      </c>
      <c r="U54" s="7" t="s">
        <v>19</v>
      </c>
      <c r="V54" t="s">
        <v>110</v>
      </c>
      <c r="W54">
        <v>10185.899999999996</v>
      </c>
    </row>
    <row r="55" spans="1:23" x14ac:dyDescent="0.3">
      <c r="A55" t="s">
        <v>19</v>
      </c>
      <c r="B55" t="s">
        <v>79</v>
      </c>
      <c r="C55">
        <v>6</v>
      </c>
      <c r="D55">
        <v>323</v>
      </c>
      <c r="L55" s="7" t="s">
        <v>19</v>
      </c>
      <c r="M55" t="s">
        <v>292</v>
      </c>
      <c r="N55">
        <v>20</v>
      </c>
      <c r="U55" s="7" t="s">
        <v>19</v>
      </c>
      <c r="V55" t="s">
        <v>292</v>
      </c>
      <c r="W55">
        <v>958.7</v>
      </c>
    </row>
    <row r="56" spans="1:23" x14ac:dyDescent="0.3">
      <c r="A56" t="s">
        <v>19</v>
      </c>
      <c r="B56" t="s">
        <v>608</v>
      </c>
      <c r="C56">
        <v>5</v>
      </c>
      <c r="D56">
        <v>167.70000000000002</v>
      </c>
      <c r="L56" s="7" t="s">
        <v>19</v>
      </c>
      <c r="M56" t="s">
        <v>79</v>
      </c>
      <c r="N56">
        <v>6</v>
      </c>
      <c r="U56" s="7" t="s">
        <v>19</v>
      </c>
      <c r="V56" t="s">
        <v>79</v>
      </c>
      <c r="W56">
        <v>323</v>
      </c>
    </row>
    <row r="57" spans="1:23" x14ac:dyDescent="0.3">
      <c r="A57" t="s">
        <v>19</v>
      </c>
      <c r="B57" t="s">
        <v>113</v>
      </c>
      <c r="C57">
        <v>94</v>
      </c>
      <c r="D57">
        <v>3978.5</v>
      </c>
      <c r="L57" s="7" t="s">
        <v>19</v>
      </c>
      <c r="M57" t="s">
        <v>608</v>
      </c>
      <c r="N57">
        <v>5</v>
      </c>
      <c r="U57" s="7" t="s">
        <v>19</v>
      </c>
      <c r="V57" t="s">
        <v>608</v>
      </c>
      <c r="W57">
        <v>167.70000000000002</v>
      </c>
    </row>
    <row r="58" spans="1:23" x14ac:dyDescent="0.3">
      <c r="A58" t="s">
        <v>19</v>
      </c>
      <c r="B58" t="s">
        <v>997</v>
      </c>
      <c r="C58">
        <v>28</v>
      </c>
      <c r="D58">
        <v>1405</v>
      </c>
      <c r="L58" s="7" t="s">
        <v>19</v>
      </c>
      <c r="M58" t="s">
        <v>113</v>
      </c>
      <c r="N58">
        <v>94</v>
      </c>
      <c r="U58" s="7" t="s">
        <v>19</v>
      </c>
      <c r="V58" t="s">
        <v>113</v>
      </c>
      <c r="W58">
        <v>3978.5</v>
      </c>
    </row>
    <row r="59" spans="1:23" x14ac:dyDescent="0.3">
      <c r="A59" t="s">
        <v>19</v>
      </c>
      <c r="B59" t="s">
        <v>82</v>
      </c>
      <c r="C59">
        <v>179</v>
      </c>
      <c r="D59">
        <v>9869.0999999999985</v>
      </c>
      <c r="L59" s="7" t="s">
        <v>19</v>
      </c>
      <c r="M59" t="s">
        <v>997</v>
      </c>
      <c r="N59">
        <v>28</v>
      </c>
      <c r="U59" s="7" t="s">
        <v>19</v>
      </c>
      <c r="V59" t="s">
        <v>997</v>
      </c>
      <c r="W59">
        <v>1405</v>
      </c>
    </row>
    <row r="60" spans="1:23" x14ac:dyDescent="0.3">
      <c r="A60" t="s">
        <v>19</v>
      </c>
      <c r="B60" t="s">
        <v>243</v>
      </c>
      <c r="C60">
        <v>15</v>
      </c>
      <c r="D60">
        <v>615.29999999999995</v>
      </c>
      <c r="L60" s="7" t="s">
        <v>19</v>
      </c>
      <c r="M60" t="s">
        <v>82</v>
      </c>
      <c r="N60">
        <v>179</v>
      </c>
      <c r="U60" s="7" t="s">
        <v>19</v>
      </c>
      <c r="V60" t="s">
        <v>82</v>
      </c>
      <c r="W60">
        <v>9869.0999999999985</v>
      </c>
    </row>
    <row r="61" spans="1:23" x14ac:dyDescent="0.3">
      <c r="A61" t="s">
        <v>19</v>
      </c>
      <c r="B61" t="s">
        <v>1911</v>
      </c>
      <c r="C61">
        <v>3</v>
      </c>
      <c r="D61">
        <v>285</v>
      </c>
      <c r="L61" s="7" t="s">
        <v>19</v>
      </c>
      <c r="M61" t="s">
        <v>243</v>
      </c>
      <c r="N61">
        <v>15</v>
      </c>
      <c r="U61" s="7" t="s">
        <v>19</v>
      </c>
      <c r="V61" t="s">
        <v>243</v>
      </c>
      <c r="W61">
        <v>615.29999999999995</v>
      </c>
    </row>
    <row r="62" spans="1:23" x14ac:dyDescent="0.3">
      <c r="L62" s="16" t="s">
        <v>19</v>
      </c>
      <c r="M62" t="s">
        <v>1911</v>
      </c>
      <c r="N62">
        <v>3</v>
      </c>
      <c r="U62" s="16" t="s">
        <v>19</v>
      </c>
      <c r="V62" t="s">
        <v>1911</v>
      </c>
      <c r="W62">
        <v>285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C0A2-1A03-49C4-9494-A4A05B4B3017}">
  <dimension ref="A3:B19"/>
  <sheetViews>
    <sheetView zoomScale="55" workbookViewId="0">
      <selection activeCell="A3" sqref="A3"/>
    </sheetView>
  </sheetViews>
  <sheetFormatPr defaultRowHeight="14.4" x14ac:dyDescent="0.3"/>
  <cols>
    <col min="1" max="1" width="18.44140625" bestFit="1" customWidth="1"/>
    <col min="2" max="2" width="17.88671875" bestFit="1" customWidth="1"/>
  </cols>
  <sheetData>
    <row r="3" spans="1:2" x14ac:dyDescent="0.3">
      <c r="A3" s="5" t="s">
        <v>2528</v>
      </c>
      <c r="B3" t="s">
        <v>2518</v>
      </c>
    </row>
    <row r="4" spans="1:2" x14ac:dyDescent="0.3">
      <c r="A4" s="6">
        <v>0</v>
      </c>
      <c r="B4">
        <v>175</v>
      </c>
    </row>
    <row r="5" spans="1:2" x14ac:dyDescent="0.3">
      <c r="A5" s="6">
        <v>1</v>
      </c>
      <c r="B5">
        <v>888</v>
      </c>
    </row>
    <row r="6" spans="1:2" x14ac:dyDescent="0.3">
      <c r="A6" s="6">
        <v>2</v>
      </c>
      <c r="B6">
        <v>538</v>
      </c>
    </row>
    <row r="7" spans="1:2" x14ac:dyDescent="0.3">
      <c r="A7" s="6">
        <v>3</v>
      </c>
      <c r="B7">
        <v>344</v>
      </c>
    </row>
    <row r="8" spans="1:2" x14ac:dyDescent="0.3">
      <c r="A8" s="6">
        <v>4</v>
      </c>
      <c r="B8">
        <v>200</v>
      </c>
    </row>
    <row r="9" spans="1:2" x14ac:dyDescent="0.3">
      <c r="A9" s="6">
        <v>5</v>
      </c>
      <c r="B9">
        <v>94</v>
      </c>
    </row>
    <row r="10" spans="1:2" x14ac:dyDescent="0.3">
      <c r="A10" s="6">
        <v>6</v>
      </c>
      <c r="B10">
        <v>51</v>
      </c>
    </row>
    <row r="11" spans="1:2" x14ac:dyDescent="0.3">
      <c r="A11" s="6">
        <v>7</v>
      </c>
      <c r="B11">
        <v>32</v>
      </c>
    </row>
    <row r="12" spans="1:2" x14ac:dyDescent="0.3">
      <c r="A12" s="6">
        <v>8</v>
      </c>
      <c r="B12">
        <v>23</v>
      </c>
    </row>
    <row r="13" spans="1:2" x14ac:dyDescent="0.3">
      <c r="A13" s="6">
        <v>9</v>
      </c>
      <c r="B13">
        <v>9</v>
      </c>
    </row>
    <row r="14" spans="1:2" x14ac:dyDescent="0.3">
      <c r="A14" s="6">
        <v>10</v>
      </c>
      <c r="B14">
        <v>8</v>
      </c>
    </row>
    <row r="15" spans="1:2" x14ac:dyDescent="0.3">
      <c r="A15" s="6">
        <v>11</v>
      </c>
      <c r="B15">
        <v>11</v>
      </c>
    </row>
    <row r="16" spans="1:2" x14ac:dyDescent="0.3">
      <c r="A16" s="6">
        <v>12</v>
      </c>
      <c r="B16">
        <v>4</v>
      </c>
    </row>
    <row r="17" spans="1:2" x14ac:dyDescent="0.3">
      <c r="A17" s="6">
        <v>13</v>
      </c>
      <c r="B17">
        <v>10</v>
      </c>
    </row>
    <row r="18" spans="1:2" x14ac:dyDescent="0.3">
      <c r="A18" s="6">
        <v>14</v>
      </c>
      <c r="B18">
        <v>13</v>
      </c>
    </row>
    <row r="19" spans="1:2" x14ac:dyDescent="0.3">
      <c r="A19" s="6" t="s">
        <v>2529</v>
      </c>
      <c r="B19">
        <v>2400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D1667-062A-47D0-860C-CDC1E7075936}">
  <dimension ref="A3:G8"/>
  <sheetViews>
    <sheetView tabSelected="1" zoomScale="35" zoomScaleNormal="100" workbookViewId="0">
      <selection activeCell="A3" sqref="A3"/>
    </sheetView>
  </sheetViews>
  <sheetFormatPr defaultColWidth="16.44140625"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32" width="6.77734375" bestFit="1" customWidth="1"/>
    <col min="33" max="33" width="8.5546875" bestFit="1" customWidth="1"/>
    <col min="34" max="34" width="10.5546875" bestFit="1" customWidth="1"/>
    <col min="35" max="35" width="5.77734375" bestFit="1" customWidth="1"/>
    <col min="36" max="36" width="10.5546875" bestFit="1" customWidth="1"/>
  </cols>
  <sheetData>
    <row r="3" spans="1:7" x14ac:dyDescent="0.3">
      <c r="A3" s="5" t="s">
        <v>2518</v>
      </c>
      <c r="B3" s="5" t="s">
        <v>2534</v>
      </c>
    </row>
    <row r="4" spans="1:7" x14ac:dyDescent="0.3">
      <c r="A4" s="5" t="s">
        <v>2528</v>
      </c>
      <c r="B4">
        <v>1</v>
      </c>
      <c r="C4">
        <v>2</v>
      </c>
      <c r="D4">
        <v>3</v>
      </c>
      <c r="E4">
        <v>4</v>
      </c>
      <c r="F4">
        <v>5</v>
      </c>
      <c r="G4" t="s">
        <v>2529</v>
      </c>
    </row>
    <row r="5" spans="1:7" x14ac:dyDescent="0.3">
      <c r="A5" s="6" t="s">
        <v>2539</v>
      </c>
      <c r="B5">
        <v>7</v>
      </c>
      <c r="C5">
        <v>37</v>
      </c>
      <c r="D5">
        <v>150</v>
      </c>
      <c r="E5">
        <v>312</v>
      </c>
      <c r="F5">
        <v>224</v>
      </c>
      <c r="G5">
        <v>730</v>
      </c>
    </row>
    <row r="6" spans="1:7" x14ac:dyDescent="0.3">
      <c r="A6" s="6" t="s">
        <v>2540</v>
      </c>
      <c r="B6">
        <v>8</v>
      </c>
      <c r="C6">
        <v>51</v>
      </c>
      <c r="D6">
        <v>182</v>
      </c>
      <c r="E6">
        <v>373</v>
      </c>
      <c r="F6">
        <v>247</v>
      </c>
      <c r="G6">
        <v>861</v>
      </c>
    </row>
    <row r="7" spans="1:7" x14ac:dyDescent="0.3">
      <c r="A7" s="6" t="s">
        <v>2541</v>
      </c>
      <c r="B7">
        <v>6</v>
      </c>
      <c r="C7">
        <v>39</v>
      </c>
      <c r="D7">
        <v>163</v>
      </c>
      <c r="E7">
        <v>351</v>
      </c>
      <c r="F7">
        <v>250</v>
      </c>
      <c r="G7">
        <v>809</v>
      </c>
    </row>
    <row r="8" spans="1:7" x14ac:dyDescent="0.3">
      <c r="A8" s="6" t="s">
        <v>2529</v>
      </c>
      <c r="B8">
        <v>21</v>
      </c>
      <c r="C8">
        <v>127</v>
      </c>
      <c r="D8">
        <v>495</v>
      </c>
      <c r="E8">
        <v>1036</v>
      </c>
      <c r="F8">
        <v>721</v>
      </c>
      <c r="G8">
        <v>2400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00D4-CD7C-4B4D-8547-D162AD775E1A}">
  <dimension ref="A3:E21"/>
  <sheetViews>
    <sheetView zoomScale="98" workbookViewId="0">
      <selection activeCell="A7" sqref="A7"/>
    </sheetView>
  </sheetViews>
  <sheetFormatPr defaultRowHeight="14.4" x14ac:dyDescent="0.3"/>
  <cols>
    <col min="1" max="1" width="12.6640625" bestFit="1" customWidth="1"/>
    <col min="2" max="2" width="14.5546875" bestFit="1" customWidth="1"/>
    <col min="3" max="3" width="13.77734375" bestFit="1" customWidth="1"/>
    <col min="4" max="4" width="17" bestFit="1" customWidth="1"/>
    <col min="5" max="5" width="19.88671875" bestFit="1" customWidth="1"/>
  </cols>
  <sheetData>
    <row r="3" spans="1:5" x14ac:dyDescent="0.3">
      <c r="A3" t="s">
        <v>2518</v>
      </c>
      <c r="B3" t="s">
        <v>2519</v>
      </c>
      <c r="C3" t="s">
        <v>2520</v>
      </c>
      <c r="D3" t="s">
        <v>2521</v>
      </c>
      <c r="E3" t="s">
        <v>2542</v>
      </c>
    </row>
    <row r="4" spans="1:5" x14ac:dyDescent="0.3">
      <c r="A4">
        <v>2400</v>
      </c>
      <c r="B4">
        <v>11997</v>
      </c>
      <c r="C4">
        <v>649019.80000000144</v>
      </c>
      <c r="D4">
        <v>3.9620833333333332</v>
      </c>
      <c r="E4">
        <v>5622</v>
      </c>
    </row>
    <row r="6" spans="1:5" x14ac:dyDescent="0.3">
      <c r="A6" t="s">
        <v>2543</v>
      </c>
    </row>
    <row r="7" spans="1:5" x14ac:dyDescent="0.3">
      <c r="A7" s="5" t="s">
        <v>2528</v>
      </c>
      <c r="B7" t="s">
        <v>2519</v>
      </c>
      <c r="C7" t="s">
        <v>2520</v>
      </c>
    </row>
    <row r="8" spans="1:5" x14ac:dyDescent="0.3">
      <c r="A8" s="6">
        <v>1</v>
      </c>
      <c r="B8">
        <v>546</v>
      </c>
      <c r="C8">
        <v>32413.300000000003</v>
      </c>
    </row>
    <row r="9" spans="1:5" x14ac:dyDescent="0.3">
      <c r="A9" s="6">
        <v>2</v>
      </c>
      <c r="B9">
        <v>905</v>
      </c>
      <c r="C9">
        <v>49562.999999999993</v>
      </c>
    </row>
    <row r="10" spans="1:5" x14ac:dyDescent="0.3">
      <c r="A10" s="6">
        <v>3</v>
      </c>
      <c r="B10">
        <v>796</v>
      </c>
      <c r="C10">
        <v>41700.400000000016</v>
      </c>
    </row>
    <row r="11" spans="1:5" x14ac:dyDescent="0.3">
      <c r="A11" s="6">
        <v>4</v>
      </c>
      <c r="B11">
        <v>913</v>
      </c>
      <c r="C11">
        <v>46782.599999999984</v>
      </c>
    </row>
    <row r="12" spans="1:5" x14ac:dyDescent="0.3">
      <c r="A12" s="6">
        <v>5</v>
      </c>
      <c r="B12">
        <v>844</v>
      </c>
      <c r="C12">
        <v>42676.100000000006</v>
      </c>
    </row>
    <row r="13" spans="1:5" x14ac:dyDescent="0.3">
      <c r="A13" s="6">
        <v>6</v>
      </c>
      <c r="B13">
        <v>1202</v>
      </c>
      <c r="C13">
        <v>62910.7</v>
      </c>
    </row>
    <row r="14" spans="1:5" x14ac:dyDescent="0.3">
      <c r="A14" s="6">
        <v>7</v>
      </c>
      <c r="B14">
        <v>935</v>
      </c>
      <c r="C14">
        <v>50332.200000000004</v>
      </c>
    </row>
    <row r="15" spans="1:5" x14ac:dyDescent="0.3">
      <c r="A15" s="6">
        <v>8</v>
      </c>
      <c r="B15">
        <v>1128</v>
      </c>
      <c r="C15">
        <v>58760.599999999977</v>
      </c>
    </row>
    <row r="16" spans="1:5" x14ac:dyDescent="0.3">
      <c r="A16" s="6">
        <v>9</v>
      </c>
      <c r="B16">
        <v>1007</v>
      </c>
      <c r="C16">
        <v>52017.299999999996</v>
      </c>
    </row>
    <row r="17" spans="1:3" x14ac:dyDescent="0.3">
      <c r="A17" s="6">
        <v>10</v>
      </c>
      <c r="B17">
        <v>1128</v>
      </c>
      <c r="C17">
        <v>64915.700000000033</v>
      </c>
    </row>
    <row r="18" spans="1:3" x14ac:dyDescent="0.3">
      <c r="A18" s="6">
        <v>11</v>
      </c>
      <c r="B18">
        <v>861</v>
      </c>
      <c r="C18">
        <v>45943.80000000001</v>
      </c>
    </row>
    <row r="19" spans="1:3" x14ac:dyDescent="0.3">
      <c r="A19" s="6">
        <v>12</v>
      </c>
      <c r="B19">
        <v>944</v>
      </c>
      <c r="C19">
        <v>55077.900000000031</v>
      </c>
    </row>
    <row r="20" spans="1:3" x14ac:dyDescent="0.3">
      <c r="A20" s="6">
        <v>13</v>
      </c>
      <c r="B20">
        <v>788</v>
      </c>
      <c r="C20">
        <v>45926.19999999999</v>
      </c>
    </row>
    <row r="21" spans="1:3" x14ac:dyDescent="0.3">
      <c r="A21" s="6" t="s">
        <v>2529</v>
      </c>
      <c r="B21">
        <v>11997</v>
      </c>
      <c r="C21">
        <v>649019.79999999993</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zoomScale="67" workbookViewId="0">
      <selection activeCell="I1" sqref="I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17" sqref="E17"/>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vt:lpstr>
      <vt:lpstr>result dashboard</vt:lpstr>
      <vt:lpstr>from where</vt:lpstr>
      <vt:lpstr>popular</vt:lpstr>
      <vt:lpstr>Sheet4</vt:lpstr>
      <vt:lpstr>days to deliver</vt:lpstr>
      <vt:lpstr>customer satisfaction</vt:lpstr>
      <vt:lpstr>Sheet8</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sreya punna</cp:lastModifiedBy>
  <dcterms:created xsi:type="dcterms:W3CDTF">2025-06-13T02:42:26Z</dcterms:created>
  <dcterms:modified xsi:type="dcterms:W3CDTF">2026-01-02T08:40:39Z</dcterms:modified>
</cp:coreProperties>
</file>